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Пользователь\Desktop\"/>
    </mc:Choice>
  </mc:AlternateContent>
  <bookViews>
    <workbookView xWindow="0" yWindow="0" windowWidth="11400" windowHeight="5895"/>
  </bookViews>
  <sheets>
    <sheet name="Лист_1" sheetId="1" r:id="rId1"/>
  </sheets>
  <calcPr calcId="162913" refMode="R1C1"/>
</workbook>
</file>

<file path=xl/calcChain.xml><?xml version="1.0" encoding="utf-8"?>
<calcChain xmlns="http://schemas.openxmlformats.org/spreadsheetml/2006/main">
  <c r="P5" i="1" l="1"/>
  <c r="S27" i="1"/>
  <c r="S10" i="1" l="1"/>
  <c r="O5" i="1"/>
  <c r="S19" i="1" l="1"/>
  <c r="S21" i="1" l="1"/>
  <c r="S18" i="1" l="1"/>
  <c r="S16" i="1"/>
  <c r="S14" i="1"/>
  <c r="S7" i="1"/>
  <c r="S26" i="1" l="1"/>
  <c r="S25" i="1"/>
  <c r="S11" i="1"/>
  <c r="S23" i="1" l="1"/>
  <c r="S9" i="1"/>
  <c r="S6" i="1" s="1"/>
</calcChain>
</file>

<file path=xl/sharedStrings.xml><?xml version="1.0" encoding="utf-8"?>
<sst xmlns="http://schemas.openxmlformats.org/spreadsheetml/2006/main" count="392" uniqueCount="252">
  <si>
    <t>Контрагент</t>
  </si>
  <si>
    <t>Количество</t>
  </si>
  <si>
    <t>Сумма реализации</t>
  </si>
  <si>
    <t>Группа</t>
  </si>
  <si>
    <t>Номенклатура</t>
  </si>
  <si>
    <t>Итого</t>
  </si>
  <si>
    <t>Авангард СДП</t>
  </si>
  <si>
    <t>ККК-603р       ДРГ 61-150-026 /05/1010</t>
  </si>
  <si>
    <t>ККК-603р       ДРГ 63-050-052 /03/1010</t>
  </si>
  <si>
    <t>ККК-604р       ДРГ 02-010-74041 /02/1010</t>
  </si>
  <si>
    <t>Концентрат кормовой балансирующий "Оптифид баланс"       ДРГ 63-050-10235 /01/1709</t>
  </si>
  <si>
    <t>Агро-Колядичи ОАО</t>
  </si>
  <si>
    <t>Асид Баф</t>
  </si>
  <si>
    <t>Агро-Фуд РТФ ООО</t>
  </si>
  <si>
    <t>Премикс Д-П60-3 для высокопродуктивных коров       ДРГ 63-020-0075 /05/3009</t>
  </si>
  <si>
    <t>Премикс Д-ПКР-2 для молодняка КРС старше 3-х месяцев       ДРГ 02-050-037 /03/3009</t>
  </si>
  <si>
    <t>АгроПавлово СХУП</t>
  </si>
  <si>
    <t>ККК-603р       ДРГ 61-150-142 /05/2410</t>
  </si>
  <si>
    <t>Алникорпродукт Вертелишки ЧПУП</t>
  </si>
  <si>
    <t>КемТРЕЙС пропионат хрома 0,4% сухой</t>
  </si>
  <si>
    <t>Беловежский  ОАО</t>
  </si>
  <si>
    <t>ККК-603р       ДРГ 63-040-013 /03/0210</t>
  </si>
  <si>
    <t>ККК-603р       ДРГ 63-300-005 /04/0210</t>
  </si>
  <si>
    <t>ККК-604р       ДРГ 02-010-7756 /05/0210</t>
  </si>
  <si>
    <t>ККК-605р       ДРГ 01-025-014 /06/0210</t>
  </si>
  <si>
    <t>НутриКАБ</t>
  </si>
  <si>
    <t>Белпромприбор ЗАО</t>
  </si>
  <si>
    <t>ККК-603к       63200105-012 /01/2510</t>
  </si>
  <si>
    <t>ККК-603р       ДРГ 63-030-16320 /13/2310</t>
  </si>
  <si>
    <t>ККК-603р       ДРГ 63-160-0130 /01/0409</t>
  </si>
  <si>
    <t>ККК-604р       ДРГ 02-030-03112 /14/2310</t>
  </si>
  <si>
    <t>Алкерфид Антитокс</t>
  </si>
  <si>
    <t>Клостат НС SP сухой</t>
  </si>
  <si>
    <t>Березовский ККЗ ОАО</t>
  </si>
  <si>
    <t>ККК-605р       ДРГ 01-025-0151 /05/0610</t>
  </si>
  <si>
    <t>БНБК ЗАО</t>
  </si>
  <si>
    <t>Воронецкий КСУП (СПК им.Воронецкого)</t>
  </si>
  <si>
    <t>Комбикорм-концентрат для телят в возрасте до 3 месяцев стартерный " Кальвостарт"       01100081-021 /10/2309</t>
  </si>
  <si>
    <t>ККК-603р       ДРГ 63-300-005 /08/0810</t>
  </si>
  <si>
    <t>Концентрат кормовой энергетический "Аминолак"       ДРГ 61-100-070 /08/2409</t>
  </si>
  <si>
    <t>Восходящая заря СПК</t>
  </si>
  <si>
    <t>Оптима 100</t>
  </si>
  <si>
    <t>Гарантагровест ООО</t>
  </si>
  <si>
    <t>ККК-603р       ДРГ 63-020-1741 /05/2910</t>
  </si>
  <si>
    <t>ККК-603р       ДРГ 63-020-1741 /07/0210</t>
  </si>
  <si>
    <t>ККК-603р       ДРГ 63-050-052 /05/1410</t>
  </si>
  <si>
    <t>ККК-604р       ДРГ 02-010-051 /03/1310</t>
  </si>
  <si>
    <t>ККК-604р       ДРГ 02-100-020 /01/0210</t>
  </si>
  <si>
    <t>ККК-604р       ДРГ 02-100-020 /04/1410</t>
  </si>
  <si>
    <t>ККК-605р       ДРГ 01-050-022 /01/0310</t>
  </si>
  <si>
    <t>ККК-605р       ДРГ 01-050-0232 /01/1510</t>
  </si>
  <si>
    <t>ККК-605р       ДРГ 01-050-0232 /06/2910</t>
  </si>
  <si>
    <t>Концентрат кормовой балансирующий "Оптифид баланс"       ДРГ 63-050-10235 /01/1310</t>
  </si>
  <si>
    <t>Концентрат кормовой балансирующий "Оптифид баланс"       ДРГ 63-050-10235 /02/0909</t>
  </si>
  <si>
    <t>Концентрат кормовой балансирующий "Оптифид баланс"       ДРГ 63-050-10235 /03/1110</t>
  </si>
  <si>
    <t>Гольшаны КСУП</t>
  </si>
  <si>
    <t>ККК-603р       ДРГ 61-100-080 /09/2310</t>
  </si>
  <si>
    <t>ККК-603р       ДРГ 61-150-027 /05/2310</t>
  </si>
  <si>
    <t>ККК-603р       ДРГ 63-010-75651 /08/2309</t>
  </si>
  <si>
    <t>ККК-603р       ДРГ 63-050-031 /04/2710</t>
  </si>
  <si>
    <t>ККК-603р       ДРГ 63-050-031 /08/2310</t>
  </si>
  <si>
    <t>ККК-604р       ДРГ 02-010-051 /07/2310</t>
  </si>
  <si>
    <t>ККК-605г       01500136-010 /11/2309</t>
  </si>
  <si>
    <t>Горбаха ОАО</t>
  </si>
  <si>
    <t>Городилово ОАО</t>
  </si>
  <si>
    <t>ККК-603р       ДРГ 61-150-0246 /04/2410</t>
  </si>
  <si>
    <t>ККК-603р       ДРГ 61-150-0246 /09/2409</t>
  </si>
  <si>
    <t>ККК-603р       ДРГ 63-010-8407 /04/0610</t>
  </si>
  <si>
    <t>ККК-605р       ДРГ 01-050-0231 /03/0610</t>
  </si>
  <si>
    <t>Гортоль ОАО</t>
  </si>
  <si>
    <t>Грушево-МИЛК Сельскохозяйственное унитарное предприятие</t>
  </si>
  <si>
    <t>Гудевичи ЗАО</t>
  </si>
  <si>
    <t>ККК-603р       ДРГ 61-100-0595 /07/1909</t>
  </si>
  <si>
    <t>ККК-603р       ДРГ 61-100-0596 /04/0910</t>
  </si>
  <si>
    <t>ККК-603р       ДРГ 63-020-177 /06/0910</t>
  </si>
  <si>
    <t>ККК-603р       ДРГ 63-030-15828 /05/0910</t>
  </si>
  <si>
    <t>Достоево ОАО</t>
  </si>
  <si>
    <t>Дрогичин Агро ФХ</t>
  </si>
  <si>
    <t>ККК-604р       ДРГ 02-010-040 /02/1510</t>
  </si>
  <si>
    <t>Журавлиное ОАО</t>
  </si>
  <si>
    <t>Западный СГЦ ОАО</t>
  </si>
  <si>
    <t>ККК-603р       ДРГ 63-020-1322 /02/1310</t>
  </si>
  <si>
    <t>Комбикорм-концентрат для телят в возрасте до 3 месяцев стартерный " Кальвостарт"       01100080-018 /01/2309</t>
  </si>
  <si>
    <t>ККК-605г       01500136-010 /01/0110</t>
  </si>
  <si>
    <t>ККК-605г       01500136-010 /03/0109</t>
  </si>
  <si>
    <t>КормВетАгро ООО</t>
  </si>
  <si>
    <t>ККК-603р       ДРГ 61-100-170 /06/1010</t>
  </si>
  <si>
    <t>ККК-603р       ДРГ 63-020-1671 /10/2910</t>
  </si>
  <si>
    <t>ККК-603р       ДРГ 63-020-1751 /02/0310</t>
  </si>
  <si>
    <t>ККК-603р       ДРГ 63-020-1752 /03/2310</t>
  </si>
  <si>
    <t>ККК-603р       ДРГ 63-020-1752 /11/1010</t>
  </si>
  <si>
    <t>ККК-603р       ДРГ 63-020-180 /07/1809</t>
  </si>
  <si>
    <t>ККК-603р       ДРГ 63-020-1801 /12/2410</t>
  </si>
  <si>
    <t>ККК-603р       ДРГ 63-030-184 /04/1010</t>
  </si>
  <si>
    <t>ККК-603р       ДРГ 63-050-051 /02/2910</t>
  </si>
  <si>
    <t>ККК-603р       ДРГ 63-070-021 /13/2410</t>
  </si>
  <si>
    <t>ККК-603р       ДРГ 63-160-0130 /01/0710</t>
  </si>
  <si>
    <t>ККК-603р       ДРГ 63-300-005 /02/0210</t>
  </si>
  <si>
    <t>ККК-603р       ДРГ 63-300-005 /03/1410</t>
  </si>
  <si>
    <t>ККК-603р       ДРГ 63-300-005 /04/2409</t>
  </si>
  <si>
    <t>ККК-603р       ДРГ 63-300-005 /07/1010</t>
  </si>
  <si>
    <t>ККК-603р       ДРГ 63-300-005 /08/1209</t>
  </si>
  <si>
    <t>ККК-603р       ДРГ 63-300-005 /12/2310</t>
  </si>
  <si>
    <t>ККК-604р       ДРГ 02-030-0391 /04/2310</t>
  </si>
  <si>
    <t>ККК-604р       ДРГ 02-030-0421 /03/0310</t>
  </si>
  <si>
    <t>Концентрат кормовой балансирующий "Оптифид баланс"       ДРГ 61-100-151 /01/1810</t>
  </si>
  <si>
    <t>Концентрат кормовой балансирующий "Оптифид баланс"       ДРГ 61-100-151 /02/0110</t>
  </si>
  <si>
    <t>Концентрат кормовой балансирующий "Оптифид баланс"       ДРГ 61-100-151 /02/1710</t>
  </si>
  <si>
    <t>Концентрат кормовой балансирующий "Оптифид баланс"       ДРГ 61-100-151 /04/0310</t>
  </si>
  <si>
    <t>Концентрат кормовой энергетический "Аминолак"       ДРГ 61-100-071 /10/1010</t>
  </si>
  <si>
    <t>Актисаф SC 47 STD</t>
  </si>
  <si>
    <t>Кормикс ЧП</t>
  </si>
  <si>
    <t>Комбикорм-концентрат для телят в возрасте до 3 месяцев стартерный " Кальвостарт"       01100081-021 /10/0409</t>
  </si>
  <si>
    <t>ККК-603р       ДРГ 61-100-0390 /05/0810</t>
  </si>
  <si>
    <t>ККК-603р       ДРГ 61-150-142 /04/2910</t>
  </si>
  <si>
    <t>ККК-603р       ДРГ 63-010-856 /02/1410</t>
  </si>
  <si>
    <t>ККК-603р       ДРГ 63-020-1607 /10/2410</t>
  </si>
  <si>
    <t>ККК-603р       ДРГ 63-020-174 /08/1809</t>
  </si>
  <si>
    <t>ККК-603р       ДРГ 63-020-1742 /01/1110</t>
  </si>
  <si>
    <t>ККК-603р       ДРГ 63-020-176 /03/0110</t>
  </si>
  <si>
    <t>ККК-603р       ДРГ 63-020-176 /03/1510</t>
  </si>
  <si>
    <t>ККК-603р       ДРГ 63-020-176 /07/0910</t>
  </si>
  <si>
    <t>ККК-603р       ДРГ 63-020-176 /08/2910</t>
  </si>
  <si>
    <t>ККК-603р       ДРГ 63-030-1691 /04/0810</t>
  </si>
  <si>
    <t>ККК-603р       ДРГ 63-030-183 /02/1110</t>
  </si>
  <si>
    <t>ККК-603р       ДРГ 63-050-02550 /08/1909</t>
  </si>
  <si>
    <t>ККК-603р       ДРГ 63-050-051 /03/2910</t>
  </si>
  <si>
    <t>ККК-603р       ДРГ 63-050-051 /09/1010</t>
  </si>
  <si>
    <t>ККК-603р       ДРГ 63-300-005 /08/1010</t>
  </si>
  <si>
    <t>ККК-604р       ДРГ 02-010-74040 /05/0309</t>
  </si>
  <si>
    <t>ККК-604р       ДРГ 02-030-039 /07/0610</t>
  </si>
  <si>
    <t>ККК-605р       ДРГ 01-050-0232 /11/2410</t>
  </si>
  <si>
    <t>Концентрат кормовой балансирующий "Оптифид баланс"       ДРГ 61-100-1331 /04/1610</t>
  </si>
  <si>
    <t>Концентрат кормовой балансирующий "Оптифид баланс"       ДРГ 61-100-150 /01/2209</t>
  </si>
  <si>
    <t>Токсфин сухой</t>
  </si>
  <si>
    <t>Краснодворцы ОАО</t>
  </si>
  <si>
    <t>ККК-603р       ДРГ 63-010-8183 /01/0810</t>
  </si>
  <si>
    <t>Красный пищевик-АгроСервис ОАО  Пищевик-Агро Филиал</t>
  </si>
  <si>
    <t>ККК-603р       ДРГ 63-030-15646 /05/2409</t>
  </si>
  <si>
    <t>ККК-604р       ДРГ 02-010-050 /07/2309</t>
  </si>
  <si>
    <t>ККК-603р       ДРГ 63-020-175 /03/2409</t>
  </si>
  <si>
    <t>КФХ Паца А.П.</t>
  </si>
  <si>
    <t>Лань-Несвиж ОАО</t>
  </si>
  <si>
    <t>Максимовичи-Агро ОАО</t>
  </si>
  <si>
    <t>Маяк Высокое ОАО</t>
  </si>
  <si>
    <t>МилкАгро УП</t>
  </si>
  <si>
    <t>Мурава ОАО  Пружанск. р-н</t>
  </si>
  <si>
    <t>ККК-603р       ДРГ 61-150-141 /06/0810</t>
  </si>
  <si>
    <t>ККК-603р       ДРГ 63-020-174 /07/0810</t>
  </si>
  <si>
    <t>Несвижские Островки ОАО</t>
  </si>
  <si>
    <t>ККК-603р       ДРГ 63-010-856 /06/2409</t>
  </si>
  <si>
    <t>Несвижский райагросервис ОАО</t>
  </si>
  <si>
    <t>Новая жизнь ОАО</t>
  </si>
  <si>
    <t>ККК-603р       ДРГ 63-010-862 /03/0810</t>
  </si>
  <si>
    <t>Новый Двор-Агро УСП</t>
  </si>
  <si>
    <t>Озеры СПК Гродненская обл.</t>
  </si>
  <si>
    <t>ККК-603р       ДРГ 61-150-142 /01/3009</t>
  </si>
  <si>
    <t>Ополь-Агро ОАО</t>
  </si>
  <si>
    <t>Осовецкий СПК</t>
  </si>
  <si>
    <t>ККК-603р       ДРГ 63-010-861 /07/2410</t>
  </si>
  <si>
    <t>ККК-603р       ДРГ 63-010-8611 /04/2609</t>
  </si>
  <si>
    <t>ККК-603р       ДРГ 63-050-02549 /05/2808</t>
  </si>
  <si>
    <t>ККК-603р       ДРГ 63-050-044 /09/2410</t>
  </si>
  <si>
    <t>ККК-603р       ДРГ 63-050-052 /08/2410</t>
  </si>
  <si>
    <t>ККК-604р       ДРГ 02-010-051 /06/2410</t>
  </si>
  <si>
    <t>ОСП Совхоз Минский ДОРОРС</t>
  </si>
  <si>
    <t>Охово ОАО</t>
  </si>
  <si>
    <t>Парохонское ОАО</t>
  </si>
  <si>
    <t>ПК им. Кремко</t>
  </si>
  <si>
    <t>ККК-603р       ДРГ 61-100-060 /01/2310</t>
  </si>
  <si>
    <t>ККК-603р       ДРГ 63-020-13715 /02/1810</t>
  </si>
  <si>
    <t>ККК-603р       ДРГ 63-030-0021 /07/1810</t>
  </si>
  <si>
    <t>ККК-604р       ДРГ 02-010-7748 /03/1810</t>
  </si>
  <si>
    <t>Концентрат кормовой энергетический "Аминолак"       ДРГ 61-100-065 /04/1810</t>
  </si>
  <si>
    <t>Подольский РУП Совхоз</t>
  </si>
  <si>
    <t>Полесье-Агроинвест СУП</t>
  </si>
  <si>
    <t>ККК-605р       ДРГ 01-050-023 /11/0910</t>
  </si>
  <si>
    <t>ККК-605р       ДРГ 01-050-0232 /06/1810</t>
  </si>
  <si>
    <t>Припять-2009 Государственное предприятие</t>
  </si>
  <si>
    <t>Пятигорье ф-л Дзержинский Агрокомбинат ОАО</t>
  </si>
  <si>
    <t>Радонежское ОАО</t>
  </si>
  <si>
    <t>ККК-603р       ДРГ 63-010-863 /09/0910</t>
  </si>
  <si>
    <t>ККК-604р       ДРГ 02-030-039 /08/0910</t>
  </si>
  <si>
    <t>Рогознянский ОАО Жабинковский</t>
  </si>
  <si>
    <t>ККК-604р       ДРГ 02-010-051 /01/1010</t>
  </si>
  <si>
    <t>Савушкин - Луч СУП</t>
  </si>
  <si>
    <t>ККК-603р       ДРГ 63-040-012 /02/0910</t>
  </si>
  <si>
    <t>ККК-603р       ДРГ 63-050-03225 /01/0910</t>
  </si>
  <si>
    <t>ККК-603р       ДРГ 63-050-042 /14/2410</t>
  </si>
  <si>
    <t>Сафволл</t>
  </si>
  <si>
    <t>Свитязянка-2003 СПК</t>
  </si>
  <si>
    <t>ККК-603р       ДРГ 63-030-185 /02/2310</t>
  </si>
  <si>
    <t>ККК-603р       ДРГ 63-050-031 /03/0710</t>
  </si>
  <si>
    <t>ККК-603р       ДРГ 63-050-045 /05/1810</t>
  </si>
  <si>
    <t>Снов Агрокомбинат СПК</t>
  </si>
  <si>
    <t>ККК-603р       ДРГ 63-015-0038 /01/0110</t>
  </si>
  <si>
    <t>Совхоз Доброволец  УКСХП</t>
  </si>
  <si>
    <t>ККК-603р       ДРГ 61-150-026 /02/2710</t>
  </si>
  <si>
    <t>ККК-603р       ДРГ 63-030-184 /01/2810</t>
  </si>
  <si>
    <t>ККК-604р       ДРГ 02-030-0391 /02/2810</t>
  </si>
  <si>
    <t>Совхоз-комбинат Заря ГП</t>
  </si>
  <si>
    <t>ККК-603р       ДРГ 63-025-0155 /10/2310</t>
  </si>
  <si>
    <t>ККК-603р       ДРГ 63-050-043 /11/2310</t>
  </si>
  <si>
    <t>Спорово ОАО</t>
  </si>
  <si>
    <t>Тышковичи-Агро ОАО</t>
  </si>
  <si>
    <t>Федорский СПК</t>
  </si>
  <si>
    <t>Шени-агропродукт ОАО</t>
  </si>
  <si>
    <t>Концентрат кормовой энергетический "Аминолак"       ДРГ 61-100-05315 /01/0909</t>
  </si>
  <si>
    <t>ЭффектИнвест ОАО</t>
  </si>
  <si>
    <t>ККК-603р       ДРГ 63-010-7941 /02/0610</t>
  </si>
  <si>
    <t>Концентрат кормовой энергетический "Аминолак"       ДРГ 61-100-071 /06/0610</t>
  </si>
  <si>
    <t>Дрогичин</t>
  </si>
  <si>
    <t>ККК</t>
  </si>
  <si>
    <t>Премиксы</t>
  </si>
  <si>
    <t>Оптифид 10%</t>
  </si>
  <si>
    <t>Оптифид 5%</t>
  </si>
  <si>
    <t>Аминолак</t>
  </si>
  <si>
    <t>Оптифид интенсив откорм</t>
  </si>
  <si>
    <t xml:space="preserve">Здоровая печень </t>
  </si>
  <si>
    <t>КемТРЕЙС</t>
  </si>
  <si>
    <t>Консулагро</t>
  </si>
  <si>
    <t>603к</t>
  </si>
  <si>
    <t>605г</t>
  </si>
  <si>
    <t>Кальвостарт</t>
  </si>
  <si>
    <t xml:space="preserve">                         Концентрат кормовой профилактический "Здоровая печень" 63-025-027</t>
  </si>
  <si>
    <t>ОАО "Речицкий КХП"</t>
  </si>
  <si>
    <t xml:space="preserve">                         Концентрат кормовой балансирующий "Оптифид интенсив откорм" 02-050-040</t>
  </si>
  <si>
    <t>Шайтерово ОАО</t>
  </si>
  <si>
    <t>СПК им. Деньщикова</t>
  </si>
  <si>
    <t>Доманово СПУ УП "Брестоблгаз"</t>
  </si>
  <si>
    <t>Доброселецкий с/х филиал КУП "Гроднооблдорстрой"</t>
  </si>
  <si>
    <t>Именинский ОАО</t>
  </si>
  <si>
    <t>Агро-Детковичи ОАО</t>
  </si>
  <si>
    <t>ОАО "Барановичхлебопродукт"</t>
  </si>
  <si>
    <t>Щучинагропродукт ОАО</t>
  </si>
  <si>
    <t>Алексеевичи-Агро ОАО</t>
  </si>
  <si>
    <t>Чернавчицы ОАО</t>
  </si>
  <si>
    <t>Лядецкий ОАО</t>
  </si>
  <si>
    <t>Маньковичи КУПП</t>
  </si>
  <si>
    <t>Агро-сад Рассвет ОАО</t>
  </si>
  <si>
    <t>Орепичи ОАО</t>
  </si>
  <si>
    <t>АГРОВЕТГАРАНТ</t>
  </si>
  <si>
    <t>Филиал СельхозАгроСервис Барановичский райагросервис ОАО</t>
  </si>
  <si>
    <t>филиал Будча ОАО “Барановичхлебопродукт"</t>
  </si>
  <si>
    <t>АФТАБ</t>
  </si>
  <si>
    <t>Остромечево ОАО</t>
  </si>
  <si>
    <t>Агро-Пелище ОАО</t>
  </si>
  <si>
    <t>Ружаны Агро ОАО</t>
  </si>
  <si>
    <t>Агронеманский ОАО</t>
  </si>
  <si>
    <t xml:space="preserve">                              Концентрат кормовой профилактический "Здоровая печень"      ДРГ 63-025-0271 /10/0910</t>
  </si>
  <si>
    <t xml:space="preserve">          Концентрат кормовой профилактический "Здоровая печень"     ДРГ 63-025-0271 /10/0910</t>
  </si>
  <si>
    <t xml:space="preserve">   Премикс Д-ПКР-2 для молодняка КРС старше 3-х месяцев       ДРГ 02-010-037 /04/3009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</si>
</sst>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8"/>
      <name val="Arial"/>
    </font>
    <font>
      <sz val="11"/>
      <name val="Calibri"/>
      <family val="2"/>
      <charset val="204"/>
    </font>
    <font>
      <sz val="8"/>
      <name val="Arial"/>
      <family val="2"/>
      <charset val="204"/>
    </font>
    <font>
      <b/>
      <sz val="11"/>
      <name val="Calibri"/>
      <family val="2"/>
      <charset val="204"/>
    </font>
    <font>
      <b/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 style="thin">
        <color rgb="FFE6E6E6"/>
      </right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/>
      <right/>
      <top/>
      <bottom style="thin">
        <color rgb="FFE6E6E6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4" fillId="0" borderId="0" xfId="0" applyFont="1"/>
    <xf numFmtId="3" fontId="3" fillId="3" borderId="1" xfId="0" applyNumberFormat="1" applyFont="1" applyFill="1" applyBorder="1" applyAlignment="1">
      <alignment horizontal="right" vertical="top"/>
    </xf>
    <xf numFmtId="4" fontId="3" fillId="3" borderId="1" xfId="0" applyNumberFormat="1" applyFont="1" applyFill="1" applyBorder="1" applyAlignment="1">
      <alignment horizontal="right" vertical="top"/>
    </xf>
    <xf numFmtId="3" fontId="1" fillId="0" borderId="0" xfId="0" applyNumberFormat="1" applyFont="1" applyFill="1" applyAlignment="1">
      <alignment horizontal="right" vertical="top"/>
    </xf>
    <xf numFmtId="4" fontId="1" fillId="0" borderId="0" xfId="0" applyNumberFormat="1" applyFont="1" applyFill="1" applyAlignment="1">
      <alignment horizontal="right" vertical="top"/>
    </xf>
    <xf numFmtId="0" fontId="2" fillId="0" borderId="0" xfId="0" applyFont="1" applyFill="1"/>
    <xf numFmtId="1" fontId="1" fillId="0" borderId="0" xfId="0" applyNumberFormat="1" applyFont="1" applyAlignment="1">
      <alignment horizontal="right" vertical="top"/>
    </xf>
    <xf numFmtId="0" fontId="5" fillId="0" borderId="0" xfId="0" applyFont="1"/>
    <xf numFmtId="2" fontId="1" fillId="0" borderId="0" xfId="0" applyNumberFormat="1" applyFont="1" applyAlignment="1">
      <alignment horizontal="right" vertical="top"/>
    </xf>
    <xf numFmtId="3" fontId="4" fillId="0" borderId="0" xfId="0" applyNumberFormat="1" applyFont="1"/>
    <xf numFmtId="3" fontId="2" fillId="0" borderId="0" xfId="0" applyNumberFormat="1" applyFont="1" applyFill="1"/>
    <xf numFmtId="3" fontId="2" fillId="0" borderId="0" xfId="0" applyNumberFormat="1" applyFont="1"/>
    <xf numFmtId="1" fontId="2" fillId="0" borderId="0" xfId="0" applyNumberFormat="1" applyFont="1"/>
    <xf numFmtId="0" fontId="6" fillId="0" borderId="0" xfId="0" applyFont="1"/>
    <xf numFmtId="1" fontId="1" fillId="0" borderId="0" xfId="0" applyNumberFormat="1" applyFont="1" applyFill="1" applyAlignment="1">
      <alignment horizontal="right" vertical="top"/>
    </xf>
    <xf numFmtId="0" fontId="6" fillId="0" borderId="0" xfId="0" applyFont="1" applyFill="1"/>
    <xf numFmtId="0" fontId="5" fillId="0" borderId="0" xfId="0" applyFont="1" applyFill="1"/>
    <xf numFmtId="4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0" fontId="3" fillId="3" borderId="1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horizontal="left" vertical="top" wrapText="1" indent="10"/>
    </xf>
    <xf numFmtId="0" fontId="1" fillId="0" borderId="0" xfId="0" applyFont="1" applyAlignment="1">
      <alignment horizontal="left" vertical="top" wrapText="1" indent="10"/>
    </xf>
    <xf numFmtId="0" fontId="1" fillId="0" borderId="0" xfId="0" applyFont="1" applyAlignment="1">
      <alignment horizontal="center" vertical="top" wrapText="1"/>
    </xf>
    <xf numFmtId="3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 indent="8"/>
    </xf>
    <xf numFmtId="0" fontId="1" fillId="0" borderId="0" xfId="0" applyFont="1" applyAlignment="1">
      <alignment horizontal="left" vertical="top" wrapText="1" indent="12"/>
    </xf>
    <xf numFmtId="0" fontId="1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horizontal="left" vertical="top" wrapText="1" indent="8"/>
    </xf>
    <xf numFmtId="4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1" fontId="3" fillId="3" borderId="1" xfId="0" applyNumberFormat="1" applyFont="1" applyFill="1" applyBorder="1" applyAlignment="1">
      <alignment horizontal="right" vertical="top"/>
    </xf>
    <xf numFmtId="2" fontId="3" fillId="3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/>
    </xf>
    <xf numFmtId="0" fontId="6" fillId="0" borderId="1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/>
    </xf>
    <xf numFmtId="3" fontId="3" fillId="2" borderId="1" xfId="0" applyNumberFormat="1" applyFont="1" applyFill="1" applyBorder="1" applyAlignment="1">
      <alignment horizontal="right" vertical="top"/>
    </xf>
    <xf numFmtId="4" fontId="3" fillId="2" borderId="1" xfId="0" applyNumberFormat="1" applyFont="1" applyFill="1" applyBorder="1" applyAlignment="1">
      <alignment horizontal="right" vertical="top"/>
    </xf>
    <xf numFmtId="0" fontId="3" fillId="3" borderId="0" xfId="0" applyFont="1" applyFill="1" applyAlignment="1">
      <alignment horizontal="left" vertical="top" wrapText="1"/>
    </xf>
    <xf numFmtId="4" fontId="3" fillId="3" borderId="0" xfId="0" applyNumberFormat="1" applyFont="1" applyFill="1" applyAlignment="1">
      <alignment horizontal="right" vertical="top"/>
    </xf>
    <xf numFmtId="0" fontId="1" fillId="0" borderId="4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S333"/>
  <sheetViews>
    <sheetView tabSelected="1" zoomScale="130" zoomScaleNormal="130" workbookViewId="0">
      <selection activeCell="R127" sqref="R127"/>
    </sheetView>
  </sheetViews>
  <sheetFormatPr defaultColWidth="10.5" defaultRowHeight="11.45" customHeight="1" outlineLevelRow="6" x14ac:dyDescent="0.2"/>
  <cols>
    <col min="1" max="1" width="5.6640625" style="35" customWidth="1"/>
    <col min="2" max="2" width="3.33203125" style="35" customWidth="1"/>
    <col min="3" max="3" width="1.5" style="35" customWidth="1"/>
    <col min="4" max="4" width="13.83203125" style="35" customWidth="1"/>
    <col min="5" max="5" width="15.6640625" style="35" customWidth="1"/>
    <col min="6" max="6" width="3" style="35" customWidth="1"/>
    <col min="7" max="7" width="18.6640625" style="35" customWidth="1"/>
    <col min="8" max="8" width="7.5" style="35" customWidth="1"/>
    <col min="9" max="9" width="10" style="35" customWidth="1"/>
    <col min="10" max="10" width="1.33203125" style="35" customWidth="1"/>
    <col min="11" max="11" width="28.33203125" style="35" customWidth="1"/>
    <col min="12" max="12" width="3" style="35" customWidth="1"/>
    <col min="13" max="14" width="3.6640625" style="35" customWidth="1"/>
    <col min="15" max="15" width="14.1640625" style="35" customWidth="1"/>
    <col min="16" max="16" width="15.1640625" style="35" customWidth="1"/>
    <col min="18" max="18" width="24.83203125" customWidth="1"/>
    <col min="19" max="19" width="10.5" customWidth="1"/>
  </cols>
  <sheetData>
    <row r="1" spans="1:19" s="1" customFormat="1" ht="9.9499999999999993" customHeight="1" x14ac:dyDescent="0.2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9" ht="12.95" customHeight="1" x14ac:dyDescent="0.2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7" t="s">
        <v>1</v>
      </c>
      <c r="P2" s="37" t="s">
        <v>2</v>
      </c>
    </row>
    <row r="3" spans="1:19" ht="12.95" customHeight="1" x14ac:dyDescent="0.2">
      <c r="A3" s="36" t="s">
        <v>3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8"/>
      <c r="P3" s="38"/>
    </row>
    <row r="4" spans="1:19" ht="12.95" customHeight="1" x14ac:dyDescent="0.2">
      <c r="A4" s="36" t="s">
        <v>4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8"/>
      <c r="P4" s="38"/>
    </row>
    <row r="5" spans="1:19" ht="15" customHeight="1" x14ac:dyDescent="0.2">
      <c r="A5" s="39" t="s">
        <v>5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40">
        <f>SUM(O6,O11,O13,O18,O20,O22,O28,O35,O37,O39,O44,O47,O61,O70,O72,O78,O80,O82,O89,O91,O94,O96,O98,O100,O129,O135,O193,O196,O205,O207,O209,O211,O216,O218,O222,O225,O228,O233,O235,O238,O240,O249,O251,O253,O255,O263,O265,O271,O273,O275,O281,O283,O287,O296,O301,O305,O313,O317,O320,O323,O325,O328)</f>
        <v>795901</v>
      </c>
      <c r="P5" s="41">
        <f>SUM(P6,P11,P13,P18,P20,P22,P28,P35,P37,P39,P44,P47,P61,P70,P72,P78,P80,P82,P89,P91,P94,P96,P98,P100,P129,P135,P193,P196,P205,P207,P209,P216,P211,P218,P222,P225,P228,P233,P235,P238,P240,P249,P251,P253,P255,P263,P265,P271,P273,P275,P281,P283,P287,P296,P301,P305,P313,P317,P320,P323,P325,P328)</f>
        <v>3879020.2600000002</v>
      </c>
    </row>
    <row r="6" spans="1:19" s="3" customFormat="1" ht="15" customHeight="1" x14ac:dyDescent="0.2">
      <c r="A6" s="22" t="s">
        <v>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4">
        <v>19000</v>
      </c>
      <c r="P6" s="5">
        <v>66650</v>
      </c>
      <c r="R6" s="3" t="s">
        <v>211</v>
      </c>
      <c r="S6" s="12">
        <f>SUM(S7:S13)</f>
        <v>580775</v>
      </c>
    </row>
    <row r="7" spans="1:19" s="8" customFormat="1" ht="15" customHeight="1" outlineLevel="5" x14ac:dyDescent="0.2">
      <c r="A7" s="23" t="s">
        <v>7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6">
        <v>5000</v>
      </c>
      <c r="P7" s="7">
        <v>34750</v>
      </c>
      <c r="R7" s="8" t="s">
        <v>212</v>
      </c>
      <c r="S7" s="13">
        <f>SUM(O7,O8,O9,O19,O23,O24,O25,O26,O30,O31,O32,O35,O41,O48,O49,O50,O51,O52,O53,O54,O55,O56,O62,O63,O64,O65,O66,O67,O73,O74,O75,O76,O83,O84,O85,O86,O87,O91,O97,O101,O102,O103,O104,O105,O106,O107,O108,O109,O110,O111,O112,O113,O114,O115,O116,O117,O118,O119,O120,O136,O137,O138,O139,O140,O141,O142,O143,O144,O145,O146,O147,O148,O149,O150,O151,O152,O153,O154,O155,O156,O157,O158,O159,O162,O163,O194,O197,O198,O199,O203,O212,O213,O214,O218,O223,O229,O230,O235,O240,O256,O257,O258,O259,O266,O267,O268,O274,O276,O277,O284,O288,O289,O290,O291,O292,O297,O298,O299,O302,O306,O307,O308,O314,O315,O322,O326,O329)</f>
        <v>358875</v>
      </c>
    </row>
    <row r="8" spans="1:19" s="8" customFormat="1" ht="15" customHeight="1" outlineLevel="5" x14ac:dyDescent="0.2">
      <c r="A8" s="23" t="s">
        <v>8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6">
        <v>2000</v>
      </c>
      <c r="P8" s="7">
        <v>7000</v>
      </c>
      <c r="R8" s="8" t="s">
        <v>213</v>
      </c>
      <c r="S8" s="13">
        <v>20000</v>
      </c>
    </row>
    <row r="9" spans="1:19" s="8" customFormat="1" ht="15" customHeight="1" outlineLevel="5" x14ac:dyDescent="0.2">
      <c r="A9" s="23" t="s">
        <v>9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6">
        <v>2000</v>
      </c>
      <c r="P9" s="7">
        <v>3500</v>
      </c>
      <c r="R9" s="8" t="s">
        <v>214</v>
      </c>
      <c r="S9" s="13">
        <f>SUM(O121,O122,O123,O124,O164,O165,O166,O170,O171,O202,O215,O278,O330,O331)</f>
        <v>127500</v>
      </c>
    </row>
    <row r="10" spans="1:19" s="8" customFormat="1" ht="15" customHeight="1" outlineLevel="5" x14ac:dyDescent="0.2">
      <c r="A10" s="23" t="s">
        <v>10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6">
        <v>10000</v>
      </c>
      <c r="P10" s="7">
        <v>21400</v>
      </c>
      <c r="R10" s="8" t="s">
        <v>215</v>
      </c>
      <c r="S10" s="13">
        <f>SUM(O10,O57,O58,O59,O60,O172,O173,O174,O310,O311)</f>
        <v>60250</v>
      </c>
    </row>
    <row r="11" spans="1:19" s="3" customFormat="1" ht="15" customHeight="1" x14ac:dyDescent="0.2">
      <c r="A11" s="22" t="s">
        <v>11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4">
        <v>10000</v>
      </c>
      <c r="P11" s="5">
        <v>39000</v>
      </c>
      <c r="R11" s="2" t="s">
        <v>216</v>
      </c>
      <c r="S11" s="14">
        <f>SUM(O42,O125,O260,O327,O332)</f>
        <v>10600</v>
      </c>
    </row>
    <row r="12" spans="1:19" s="2" customFormat="1" ht="15" customHeight="1" outlineLevel="5" x14ac:dyDescent="0.2">
      <c r="A12" s="24" t="s">
        <v>12</v>
      </c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1">
        <v>10000</v>
      </c>
      <c r="P12" s="20">
        <v>39000</v>
      </c>
      <c r="R12" s="8" t="s">
        <v>217</v>
      </c>
      <c r="S12" s="14">
        <v>2000</v>
      </c>
    </row>
    <row r="13" spans="1:19" s="3" customFormat="1" ht="15" customHeight="1" x14ac:dyDescent="0.2">
      <c r="A13" s="22" t="s">
        <v>13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4">
        <v>20000</v>
      </c>
      <c r="P13" s="5">
        <v>68496.34</v>
      </c>
      <c r="R13" s="8" t="s">
        <v>218</v>
      </c>
      <c r="S13" s="14">
        <v>1550</v>
      </c>
    </row>
    <row r="14" spans="1:19" s="2" customFormat="1" ht="17.25" customHeight="1" outlineLevel="5" x14ac:dyDescent="0.2">
      <c r="A14" s="24" t="s">
        <v>14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1">
        <v>15000</v>
      </c>
      <c r="P14" s="20">
        <v>51118.41</v>
      </c>
      <c r="R14" s="19" t="s">
        <v>41</v>
      </c>
      <c r="S14" s="14">
        <f>SUM(O45,O126,O177,O217,O279,O300)</f>
        <v>52100</v>
      </c>
    </row>
    <row r="15" spans="1:19" s="2" customFormat="1" ht="12" customHeight="1" outlineLevel="5" x14ac:dyDescent="0.2">
      <c r="A15" s="25" t="s">
        <v>251</v>
      </c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6">
        <v>3000</v>
      </c>
      <c r="P15" s="31">
        <v>12438.09</v>
      </c>
      <c r="R15" s="19" t="s">
        <v>110</v>
      </c>
      <c r="S15" s="14">
        <v>300</v>
      </c>
    </row>
    <row r="16" spans="1:19" s="2" customFormat="1" ht="10.5" customHeight="1" outlineLevel="5" x14ac:dyDescent="0.2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6"/>
      <c r="P16" s="31"/>
      <c r="R16" s="10" t="s">
        <v>12</v>
      </c>
      <c r="S16" s="14">
        <f>SUM(O12,O69,O71,O187,O224,O227,O252,O286,O319)</f>
        <v>21375</v>
      </c>
    </row>
    <row r="17" spans="1:19" s="2" customFormat="1" ht="15" customHeight="1" outlineLevel="5" x14ac:dyDescent="0.2">
      <c r="A17" s="24" t="s">
        <v>15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1">
        <v>2000</v>
      </c>
      <c r="P17" s="20">
        <v>4939.84</v>
      </c>
      <c r="R17" s="10" t="s">
        <v>219</v>
      </c>
      <c r="S17" s="14">
        <v>1000</v>
      </c>
    </row>
    <row r="18" spans="1:19" s="2" customFormat="1" ht="15" customHeight="1" x14ac:dyDescent="0.2">
      <c r="A18" s="22" t="s">
        <v>16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4">
        <v>2500</v>
      </c>
      <c r="P18" s="5">
        <v>15450</v>
      </c>
      <c r="R18" s="10" t="s">
        <v>25</v>
      </c>
      <c r="S18" s="14">
        <f>SUM(O27,O43,O46,O79,O188,O204,O262,O270,O304,O316,O280,O312,O333)</f>
        <v>16975</v>
      </c>
    </row>
    <row r="19" spans="1:19" s="2" customFormat="1" ht="15" customHeight="1" outlineLevel="5" x14ac:dyDescent="0.2">
      <c r="A19" s="24" t="s">
        <v>17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1">
        <v>2500</v>
      </c>
      <c r="P19" s="20">
        <v>15450</v>
      </c>
      <c r="R19" s="10" t="s">
        <v>32</v>
      </c>
      <c r="S19" s="15">
        <f>SUM(O34,O88,O90,O95,O208,O128,O226,O254,O264,O285,O295,O303)</f>
        <v>451</v>
      </c>
    </row>
    <row r="20" spans="1:19" s="3" customFormat="1" ht="15" customHeight="1" x14ac:dyDescent="0.2">
      <c r="A20" s="22" t="s">
        <v>18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4">
        <v>1000</v>
      </c>
      <c r="P20" s="5">
        <v>53760</v>
      </c>
      <c r="R20" s="10" t="s">
        <v>134</v>
      </c>
      <c r="S20" s="14">
        <v>1500</v>
      </c>
    </row>
    <row r="21" spans="1:19" s="2" customFormat="1" ht="15" customHeight="1" outlineLevel="5" x14ac:dyDescent="0.2">
      <c r="A21" s="24" t="s">
        <v>19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1">
        <v>1000</v>
      </c>
      <c r="P21" s="20">
        <v>53760</v>
      </c>
      <c r="R21" s="10" t="s">
        <v>31</v>
      </c>
      <c r="S21" s="14">
        <f>SUM(O33,O38,O77,O183,O232,O234,O239,O261,O272,O293,O318)</f>
        <v>24575</v>
      </c>
    </row>
    <row r="22" spans="1:19" s="3" customFormat="1" ht="15" customHeight="1" x14ac:dyDescent="0.2">
      <c r="A22" s="22" t="s">
        <v>20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4">
        <v>27200</v>
      </c>
      <c r="P22" s="5">
        <v>185541</v>
      </c>
      <c r="R22" s="10" t="s">
        <v>189</v>
      </c>
      <c r="S22" s="2">
        <v>400</v>
      </c>
    </row>
    <row r="23" spans="1:19" s="2" customFormat="1" ht="15" customHeight="1" outlineLevel="5" x14ac:dyDescent="0.2">
      <c r="A23" s="24" t="s">
        <v>21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1">
        <v>8000</v>
      </c>
      <c r="P23" s="20">
        <v>69600</v>
      </c>
      <c r="R23" s="3" t="s">
        <v>220</v>
      </c>
      <c r="S23" s="12">
        <f>SUM(S24:S26)</f>
        <v>96450</v>
      </c>
    </row>
    <row r="24" spans="1:19" s="2" customFormat="1" ht="15" customHeight="1" outlineLevel="5" x14ac:dyDescent="0.2">
      <c r="A24" s="24" t="s">
        <v>22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1">
        <v>3500</v>
      </c>
      <c r="P24" s="20">
        <v>23870</v>
      </c>
      <c r="R24" s="2" t="s">
        <v>221</v>
      </c>
      <c r="S24" s="14">
        <v>7000</v>
      </c>
    </row>
    <row r="25" spans="1:19" s="2" customFormat="1" ht="15" customHeight="1" outlineLevel="5" x14ac:dyDescent="0.2">
      <c r="A25" s="24" t="s">
        <v>23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1">
        <v>10500</v>
      </c>
      <c r="P25" s="20">
        <v>49350</v>
      </c>
      <c r="R25" s="2" t="s">
        <v>222</v>
      </c>
      <c r="S25" s="14">
        <f>SUM(O68,O131,O132,O195,O200,O201,O210,O309)</f>
        <v>59000</v>
      </c>
    </row>
    <row r="26" spans="1:19" s="2" customFormat="1" ht="15" customHeight="1" outlineLevel="5" x14ac:dyDescent="0.2">
      <c r="A26" s="24" t="s">
        <v>24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1">
        <v>3000</v>
      </c>
      <c r="P26" s="20">
        <v>14100</v>
      </c>
      <c r="R26" s="2" t="s">
        <v>223</v>
      </c>
      <c r="S26" s="14">
        <f>SUM(O40,O81,O99,O130,O250,O321,O324)</f>
        <v>30450</v>
      </c>
    </row>
    <row r="27" spans="1:19" s="2" customFormat="1" ht="15" customHeight="1" outlineLevel="5" x14ac:dyDescent="0.2">
      <c r="A27" s="24" t="s">
        <v>25</v>
      </c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1">
        <v>2200</v>
      </c>
      <c r="P27" s="20">
        <v>28621</v>
      </c>
      <c r="R27" s="3" t="s">
        <v>5</v>
      </c>
      <c r="S27" s="12">
        <f>SUM(S6,S23,S14,S16,S17,S18,S19,S20,S21,S22,S15)</f>
        <v>795901</v>
      </c>
    </row>
    <row r="28" spans="1:19" s="3" customFormat="1" ht="15" customHeight="1" x14ac:dyDescent="0.2">
      <c r="A28" s="22" t="s">
        <v>26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4">
        <v>18550</v>
      </c>
      <c r="P28" s="5">
        <v>58247.5</v>
      </c>
      <c r="S28" s="12"/>
    </row>
    <row r="29" spans="1:19" s="2" customFormat="1" ht="15" customHeight="1" outlineLevel="5" x14ac:dyDescent="0.2">
      <c r="A29" s="24" t="s">
        <v>27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1">
        <v>7000</v>
      </c>
      <c r="P29" s="20">
        <v>17290</v>
      </c>
      <c r="S29" s="14"/>
    </row>
    <row r="30" spans="1:19" s="2" customFormat="1" ht="15" customHeight="1" outlineLevel="5" x14ac:dyDescent="0.2">
      <c r="A30" s="24" t="s">
        <v>28</v>
      </c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1">
        <v>9000</v>
      </c>
      <c r="P30" s="20">
        <v>19080</v>
      </c>
    </row>
    <row r="31" spans="1:19" s="2" customFormat="1" ht="15" customHeight="1" outlineLevel="5" x14ac:dyDescent="0.2">
      <c r="A31" s="24" t="s">
        <v>29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1">
        <v>1200</v>
      </c>
      <c r="P31" s="20">
        <v>8760</v>
      </c>
    </row>
    <row r="32" spans="1:19" s="2" customFormat="1" ht="15" customHeight="1" outlineLevel="5" x14ac:dyDescent="0.2">
      <c r="A32" s="24" t="s">
        <v>30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1">
        <v>1000</v>
      </c>
      <c r="P32" s="20">
        <v>1790</v>
      </c>
    </row>
    <row r="33" spans="1:16" s="2" customFormat="1" ht="15" customHeight="1" outlineLevel="4" x14ac:dyDescent="0.2">
      <c r="A33" s="27" t="s">
        <v>31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9">
        <v>300</v>
      </c>
      <c r="P33" s="20">
        <v>2700</v>
      </c>
    </row>
    <row r="34" spans="1:16" s="2" customFormat="1" ht="15" customHeight="1" outlineLevel="4" x14ac:dyDescent="0.2">
      <c r="A34" s="27" t="s">
        <v>32</v>
      </c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9">
        <v>50</v>
      </c>
      <c r="P34" s="20">
        <v>8627.5</v>
      </c>
    </row>
    <row r="35" spans="1:16" s="3" customFormat="1" ht="15" customHeight="1" x14ac:dyDescent="0.2">
      <c r="A35" s="22" t="s">
        <v>33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4">
        <v>2500</v>
      </c>
      <c r="P35" s="5">
        <v>11425</v>
      </c>
    </row>
    <row r="36" spans="1:16" s="2" customFormat="1" ht="15" customHeight="1" outlineLevel="5" x14ac:dyDescent="0.2">
      <c r="A36" s="24" t="s">
        <v>34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1">
        <v>2500</v>
      </c>
      <c r="P36" s="20">
        <v>11425</v>
      </c>
    </row>
    <row r="37" spans="1:16" s="3" customFormat="1" ht="15" customHeight="1" x14ac:dyDescent="0.2">
      <c r="A37" s="22" t="s">
        <v>35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4">
        <v>20000</v>
      </c>
      <c r="P37" s="5">
        <v>178900</v>
      </c>
    </row>
    <row r="38" spans="1:16" s="2" customFormat="1" ht="15" customHeight="1" outlineLevel="4" x14ac:dyDescent="0.2">
      <c r="A38" s="27" t="s">
        <v>31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1">
        <v>20000</v>
      </c>
      <c r="P38" s="20">
        <v>178900</v>
      </c>
    </row>
    <row r="39" spans="1:16" ht="15" customHeight="1" x14ac:dyDescent="0.2">
      <c r="A39" s="22" t="s">
        <v>36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4">
        <v>22750</v>
      </c>
      <c r="P39" s="5">
        <v>101617.5</v>
      </c>
    </row>
    <row r="40" spans="1:16" s="2" customFormat="1" ht="15" customHeight="1" outlineLevel="6" x14ac:dyDescent="0.2">
      <c r="A40" s="28" t="s">
        <v>37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1">
        <v>12000</v>
      </c>
      <c r="P40" s="20">
        <v>18960</v>
      </c>
    </row>
    <row r="41" spans="1:16" s="2" customFormat="1" ht="15" customHeight="1" outlineLevel="5" x14ac:dyDescent="0.2">
      <c r="A41" s="24" t="s">
        <v>38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1">
        <v>6000</v>
      </c>
      <c r="P41" s="20">
        <v>40740</v>
      </c>
    </row>
    <row r="42" spans="1:16" s="2" customFormat="1" ht="15" customHeight="1" outlineLevel="5" x14ac:dyDescent="0.2">
      <c r="A42" s="24" t="s">
        <v>39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1">
        <v>4000</v>
      </c>
      <c r="P42" s="20">
        <v>31440</v>
      </c>
    </row>
    <row r="43" spans="1:16" s="2" customFormat="1" ht="15" customHeight="1" outlineLevel="5" x14ac:dyDescent="0.2">
      <c r="A43" s="24" t="s">
        <v>25</v>
      </c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9">
        <v>750</v>
      </c>
      <c r="P43" s="20">
        <v>10477.5</v>
      </c>
    </row>
    <row r="44" spans="1:16" s="2" customFormat="1" ht="15" customHeight="1" x14ac:dyDescent="0.2">
      <c r="A44" s="22" t="s">
        <v>40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4">
        <v>6000</v>
      </c>
      <c r="P44" s="5">
        <v>50810</v>
      </c>
    </row>
    <row r="45" spans="1:16" s="2" customFormat="1" ht="15" customHeight="1" outlineLevel="4" x14ac:dyDescent="0.2">
      <c r="A45" s="27" t="s">
        <v>41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1">
        <v>5000</v>
      </c>
      <c r="P45" s="20">
        <v>37000</v>
      </c>
    </row>
    <row r="46" spans="1:16" s="2" customFormat="1" ht="15" customHeight="1" outlineLevel="5" x14ac:dyDescent="0.2">
      <c r="A46" s="24" t="s">
        <v>25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1">
        <v>1000</v>
      </c>
      <c r="P46" s="20">
        <v>13810</v>
      </c>
    </row>
    <row r="47" spans="1:16" s="3" customFormat="1" ht="15" customHeight="1" x14ac:dyDescent="0.2">
      <c r="A47" s="22" t="s">
        <v>42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4">
        <v>73000</v>
      </c>
      <c r="P47" s="5">
        <v>158000</v>
      </c>
    </row>
    <row r="48" spans="1:16" s="2" customFormat="1" ht="15" customHeight="1" outlineLevel="5" x14ac:dyDescent="0.2">
      <c r="A48" s="24" t="s">
        <v>43</v>
      </c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1">
        <v>5000</v>
      </c>
      <c r="P48" s="20">
        <v>14500</v>
      </c>
    </row>
    <row r="49" spans="1:16" s="2" customFormat="1" ht="15" customHeight="1" outlineLevel="5" x14ac:dyDescent="0.2">
      <c r="A49" s="24" t="s">
        <v>44</v>
      </c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1">
        <v>8000</v>
      </c>
      <c r="P49" s="20">
        <v>23200</v>
      </c>
    </row>
    <row r="50" spans="1:16" s="2" customFormat="1" ht="15" customHeight="1" outlineLevel="5" x14ac:dyDescent="0.2">
      <c r="A50" s="24" t="s">
        <v>45</v>
      </c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1">
        <v>4000</v>
      </c>
      <c r="P50" s="20">
        <v>10960</v>
      </c>
    </row>
    <row r="51" spans="1:16" s="2" customFormat="1" ht="15" customHeight="1" outlineLevel="5" x14ac:dyDescent="0.2">
      <c r="A51" s="24" t="s">
        <v>46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1">
        <v>4000</v>
      </c>
      <c r="P51" s="20">
        <v>9520</v>
      </c>
    </row>
    <row r="52" spans="1:16" s="2" customFormat="1" ht="15" customHeight="1" outlineLevel="5" x14ac:dyDescent="0.2">
      <c r="A52" s="24" t="s">
        <v>47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1">
        <v>5000</v>
      </c>
      <c r="P52" s="20">
        <v>7700</v>
      </c>
    </row>
    <row r="53" spans="1:16" s="2" customFormat="1" ht="15" customHeight="1" outlineLevel="5" x14ac:dyDescent="0.2">
      <c r="A53" s="24" t="s">
        <v>48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1">
        <v>5000</v>
      </c>
      <c r="P53" s="20">
        <v>7700</v>
      </c>
    </row>
    <row r="54" spans="1:16" s="2" customFormat="1" ht="15" customHeight="1" outlineLevel="5" x14ac:dyDescent="0.2">
      <c r="A54" s="24" t="s">
        <v>49</v>
      </c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1">
        <v>4000</v>
      </c>
      <c r="P54" s="20">
        <v>11040</v>
      </c>
    </row>
    <row r="55" spans="1:16" s="2" customFormat="1" ht="15" customHeight="1" outlineLevel="5" x14ac:dyDescent="0.2">
      <c r="A55" s="24" t="s">
        <v>50</v>
      </c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1">
        <v>4000</v>
      </c>
      <c r="P55" s="20">
        <v>11040</v>
      </c>
    </row>
    <row r="56" spans="1:16" s="2" customFormat="1" ht="15" customHeight="1" outlineLevel="5" x14ac:dyDescent="0.2">
      <c r="A56" s="24" t="s">
        <v>51</v>
      </c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1">
        <v>4000</v>
      </c>
      <c r="P56" s="20">
        <v>11040</v>
      </c>
    </row>
    <row r="57" spans="1:16" s="2" customFormat="1" ht="15" customHeight="1" outlineLevel="5" x14ac:dyDescent="0.2">
      <c r="A57" s="24" t="s">
        <v>52</v>
      </c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1">
        <v>14250</v>
      </c>
      <c r="P57" s="20">
        <v>24367.5</v>
      </c>
    </row>
    <row r="58" spans="1:16" s="2" customFormat="1" ht="15" customHeight="1" outlineLevel="5" x14ac:dyDescent="0.2">
      <c r="A58" s="24" t="s">
        <v>10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1">
        <v>4500</v>
      </c>
      <c r="P58" s="20">
        <v>7695</v>
      </c>
    </row>
    <row r="59" spans="1:16" s="2" customFormat="1" ht="15" customHeight="1" outlineLevel="5" x14ac:dyDescent="0.2">
      <c r="A59" s="24" t="s">
        <v>53</v>
      </c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1">
        <v>3500</v>
      </c>
      <c r="P59" s="20">
        <v>5985</v>
      </c>
    </row>
    <row r="60" spans="1:16" s="2" customFormat="1" ht="15" customHeight="1" outlineLevel="5" x14ac:dyDescent="0.2">
      <c r="A60" s="24" t="s">
        <v>54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1">
        <v>7750</v>
      </c>
      <c r="P60" s="20">
        <v>13252.5</v>
      </c>
    </row>
    <row r="61" spans="1:16" s="2" customFormat="1" ht="15" customHeight="1" x14ac:dyDescent="0.2">
      <c r="A61" s="22" t="s">
        <v>55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4">
        <v>18500</v>
      </c>
      <c r="P61" s="5">
        <v>75050</v>
      </c>
    </row>
    <row r="62" spans="1:16" s="10" customFormat="1" ht="15" customHeight="1" outlineLevel="5" x14ac:dyDescent="0.2">
      <c r="A62" s="24" t="s">
        <v>56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1">
        <v>1500</v>
      </c>
      <c r="P62" s="20">
        <v>20520</v>
      </c>
    </row>
    <row r="63" spans="1:16" s="10" customFormat="1" ht="15" customHeight="1" outlineLevel="5" x14ac:dyDescent="0.2">
      <c r="A63" s="24" t="s">
        <v>57</v>
      </c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1">
        <v>2000</v>
      </c>
      <c r="P63" s="20">
        <v>10600</v>
      </c>
    </row>
    <row r="64" spans="1:16" s="10" customFormat="1" ht="15" customHeight="1" outlineLevel="5" x14ac:dyDescent="0.2">
      <c r="A64" s="24" t="s">
        <v>58</v>
      </c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1">
        <v>4000</v>
      </c>
      <c r="P64" s="20">
        <v>9360</v>
      </c>
    </row>
    <row r="65" spans="1:16" s="10" customFormat="1" ht="15" customHeight="1" outlineLevel="5" x14ac:dyDescent="0.2">
      <c r="A65" s="24" t="s">
        <v>59</v>
      </c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1">
        <v>1000</v>
      </c>
      <c r="P65" s="20">
        <v>3110</v>
      </c>
    </row>
    <row r="66" spans="1:16" s="10" customFormat="1" ht="15" customHeight="1" outlineLevel="5" x14ac:dyDescent="0.2">
      <c r="A66" s="24" t="s">
        <v>60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1">
        <v>1000</v>
      </c>
      <c r="P66" s="20">
        <v>3110</v>
      </c>
    </row>
    <row r="67" spans="1:16" s="10" customFormat="1" ht="15" customHeight="1" outlineLevel="5" x14ac:dyDescent="0.2">
      <c r="A67" s="24" t="s">
        <v>61</v>
      </c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1">
        <v>2000</v>
      </c>
      <c r="P67" s="20">
        <v>5420</v>
      </c>
    </row>
    <row r="68" spans="1:16" s="2" customFormat="1" ht="15" customHeight="1" outlineLevel="5" x14ac:dyDescent="0.2">
      <c r="A68" s="24" t="s">
        <v>62</v>
      </c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1">
        <v>4000</v>
      </c>
      <c r="P68" s="20">
        <v>11200</v>
      </c>
    </row>
    <row r="69" spans="1:16" s="10" customFormat="1" ht="15" customHeight="1" outlineLevel="5" x14ac:dyDescent="0.2">
      <c r="A69" s="24" t="s">
        <v>12</v>
      </c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1">
        <v>3000</v>
      </c>
      <c r="P69" s="20">
        <v>11730</v>
      </c>
    </row>
    <row r="70" spans="1:16" s="10" customFormat="1" ht="15" customHeight="1" x14ac:dyDescent="0.2">
      <c r="A70" s="22" t="s">
        <v>63</v>
      </c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4">
        <v>1000</v>
      </c>
      <c r="P70" s="5">
        <v>3900</v>
      </c>
    </row>
    <row r="71" spans="1:16" s="10" customFormat="1" ht="15" customHeight="1" outlineLevel="5" x14ac:dyDescent="0.2">
      <c r="A71" s="24" t="s">
        <v>12</v>
      </c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1">
        <v>1000</v>
      </c>
      <c r="P71" s="20">
        <v>3900</v>
      </c>
    </row>
    <row r="72" spans="1:16" s="10" customFormat="1" ht="15" customHeight="1" x14ac:dyDescent="0.2">
      <c r="A72" s="22" t="s">
        <v>64</v>
      </c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4">
        <v>15000</v>
      </c>
      <c r="P72" s="5">
        <v>77630</v>
      </c>
    </row>
    <row r="73" spans="1:16" s="10" customFormat="1" ht="15" customHeight="1" outlineLevel="5" x14ac:dyDescent="0.2">
      <c r="A73" s="24" t="s">
        <v>65</v>
      </c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1">
        <v>5000</v>
      </c>
      <c r="P73" s="20">
        <v>24300</v>
      </c>
    </row>
    <row r="74" spans="1:16" s="10" customFormat="1" ht="15" customHeight="1" outlineLevel="5" x14ac:dyDescent="0.2">
      <c r="A74" s="24" t="s">
        <v>66</v>
      </c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1">
        <v>5000</v>
      </c>
      <c r="P74" s="20">
        <v>24300</v>
      </c>
    </row>
    <row r="75" spans="1:16" s="10" customFormat="1" ht="15" customHeight="1" outlineLevel="5" x14ac:dyDescent="0.2">
      <c r="A75" s="24" t="s">
        <v>67</v>
      </c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1">
        <v>3000</v>
      </c>
      <c r="P75" s="20">
        <v>16650</v>
      </c>
    </row>
    <row r="76" spans="1:16" s="10" customFormat="1" ht="15" customHeight="1" outlineLevel="5" x14ac:dyDescent="0.2">
      <c r="A76" s="24" t="s">
        <v>68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1">
        <v>1000</v>
      </c>
      <c r="P76" s="20">
        <v>3450</v>
      </c>
    </row>
    <row r="77" spans="1:16" s="10" customFormat="1" ht="15" customHeight="1" outlineLevel="4" x14ac:dyDescent="0.2">
      <c r="A77" s="27" t="s">
        <v>31</v>
      </c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1">
        <v>1000</v>
      </c>
      <c r="P77" s="20">
        <v>8930</v>
      </c>
    </row>
    <row r="78" spans="1:16" s="10" customFormat="1" ht="15" customHeight="1" x14ac:dyDescent="0.2">
      <c r="A78" s="22" t="s">
        <v>69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33">
        <v>500</v>
      </c>
      <c r="P78" s="5">
        <v>6905</v>
      </c>
    </row>
    <row r="79" spans="1:16" s="10" customFormat="1" ht="15" customHeight="1" outlineLevel="5" x14ac:dyDescent="0.2">
      <c r="A79" s="24" t="s">
        <v>25</v>
      </c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9">
        <v>500</v>
      </c>
      <c r="P79" s="20">
        <v>6905</v>
      </c>
    </row>
    <row r="80" spans="1:16" s="10" customFormat="1" ht="15" customHeight="1" x14ac:dyDescent="0.2">
      <c r="A80" s="22" t="s">
        <v>70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4">
        <v>3950</v>
      </c>
      <c r="P80" s="5">
        <v>6241</v>
      </c>
    </row>
    <row r="81" spans="1:16" s="10" customFormat="1" ht="33" customHeight="1" outlineLevel="6" x14ac:dyDescent="0.2">
      <c r="A81" s="28" t="s">
        <v>37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1">
        <v>3950</v>
      </c>
      <c r="P81" s="20">
        <v>6241</v>
      </c>
    </row>
    <row r="82" spans="1:16" s="10" customFormat="1" ht="15" customHeight="1" x14ac:dyDescent="0.2">
      <c r="A82" s="22" t="s">
        <v>71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4">
        <v>16100</v>
      </c>
      <c r="P82" s="5">
        <v>104985</v>
      </c>
    </row>
    <row r="83" spans="1:16" s="10" customFormat="1" ht="15" customHeight="1" outlineLevel="5" x14ac:dyDescent="0.2">
      <c r="A83" s="24" t="s">
        <v>72</v>
      </c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9">
        <v>300</v>
      </c>
      <c r="P83" s="20">
        <v>5250</v>
      </c>
    </row>
    <row r="84" spans="1:16" s="10" customFormat="1" ht="15" customHeight="1" outlineLevel="5" x14ac:dyDescent="0.2">
      <c r="A84" s="24" t="s">
        <v>73</v>
      </c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1">
        <v>1700</v>
      </c>
      <c r="P84" s="20">
        <v>29750</v>
      </c>
    </row>
    <row r="85" spans="1:16" s="10" customFormat="1" ht="15" customHeight="1" outlineLevel="5" x14ac:dyDescent="0.2">
      <c r="A85" s="24" t="s">
        <v>74</v>
      </c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1">
        <v>8000</v>
      </c>
      <c r="P85" s="20">
        <v>31600</v>
      </c>
    </row>
    <row r="86" spans="1:16" s="10" customFormat="1" ht="15" customHeight="1" outlineLevel="5" x14ac:dyDescent="0.2">
      <c r="A86" s="24" t="s">
        <v>75</v>
      </c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1">
        <v>2000</v>
      </c>
      <c r="P86" s="20">
        <v>8100</v>
      </c>
    </row>
    <row r="87" spans="1:16" s="10" customFormat="1" ht="15" customHeight="1" outlineLevel="5" x14ac:dyDescent="0.2">
      <c r="A87" s="24" t="s">
        <v>46</v>
      </c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1">
        <v>4000</v>
      </c>
      <c r="P87" s="20">
        <v>11920</v>
      </c>
    </row>
    <row r="88" spans="1:16" s="10" customFormat="1" ht="15" customHeight="1" outlineLevel="4" x14ac:dyDescent="0.2">
      <c r="A88" s="27" t="s">
        <v>32</v>
      </c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9">
        <v>100</v>
      </c>
      <c r="P88" s="20">
        <v>18365</v>
      </c>
    </row>
    <row r="89" spans="1:16" s="10" customFormat="1" ht="15" customHeight="1" x14ac:dyDescent="0.2">
      <c r="A89" s="22" t="s">
        <v>76</v>
      </c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33">
        <v>5</v>
      </c>
      <c r="P89" s="34">
        <v>939.6</v>
      </c>
    </row>
    <row r="90" spans="1:16" s="10" customFormat="1" ht="15" customHeight="1" outlineLevel="4" x14ac:dyDescent="0.2">
      <c r="A90" s="27" t="s">
        <v>32</v>
      </c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9">
        <v>5</v>
      </c>
      <c r="P90" s="11">
        <v>939.6</v>
      </c>
    </row>
    <row r="91" spans="1:16" s="10" customFormat="1" ht="15" customHeight="1" x14ac:dyDescent="0.2">
      <c r="A91" s="22" t="s">
        <v>77</v>
      </c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33">
        <v>800</v>
      </c>
      <c r="P91" s="5">
        <v>1686</v>
      </c>
    </row>
    <row r="92" spans="1:16" s="10" customFormat="1" ht="15" customHeight="1" outlineLevel="5" x14ac:dyDescent="0.2">
      <c r="A92" s="24" t="s">
        <v>58</v>
      </c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9">
        <v>600</v>
      </c>
      <c r="P92" s="20">
        <v>1380</v>
      </c>
    </row>
    <row r="93" spans="1:16" s="10" customFormat="1" ht="15" customHeight="1" outlineLevel="5" x14ac:dyDescent="0.2">
      <c r="A93" s="24" t="s">
        <v>78</v>
      </c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9">
        <v>200</v>
      </c>
      <c r="P93" s="11">
        <v>306</v>
      </c>
    </row>
    <row r="94" spans="1:16" s="10" customFormat="1" ht="15" customHeight="1" x14ac:dyDescent="0.2">
      <c r="A94" s="22" t="s">
        <v>79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33">
        <v>50</v>
      </c>
      <c r="P94" s="5">
        <v>9182.5</v>
      </c>
    </row>
    <row r="95" spans="1:16" s="10" customFormat="1" ht="15" customHeight="1" outlineLevel="4" x14ac:dyDescent="0.2">
      <c r="A95" s="27" t="s">
        <v>32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9">
        <v>50</v>
      </c>
      <c r="P95" s="20">
        <v>9182.5</v>
      </c>
    </row>
    <row r="96" spans="1:16" s="10" customFormat="1" ht="15" customHeight="1" x14ac:dyDescent="0.2">
      <c r="A96" s="22" t="s">
        <v>80</v>
      </c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4">
        <v>8000</v>
      </c>
      <c r="P96" s="5">
        <v>24960</v>
      </c>
    </row>
    <row r="97" spans="1:16" s="10" customFormat="1" ht="15" customHeight="1" outlineLevel="5" x14ac:dyDescent="0.2">
      <c r="A97" s="24" t="s">
        <v>81</v>
      </c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1">
        <v>8000</v>
      </c>
      <c r="P97" s="20">
        <v>24960</v>
      </c>
    </row>
    <row r="98" spans="1:16" s="10" customFormat="1" ht="15" customHeight="1" x14ac:dyDescent="0.2">
      <c r="A98" s="22" t="s">
        <v>85</v>
      </c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4">
        <v>2000</v>
      </c>
      <c r="P98" s="5">
        <v>2940</v>
      </c>
    </row>
    <row r="99" spans="1:16" s="10" customFormat="1" ht="31.5" customHeight="1" outlineLevel="6" x14ac:dyDescent="0.2">
      <c r="A99" s="28" t="s">
        <v>37</v>
      </c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1">
        <v>2000</v>
      </c>
      <c r="P99" s="20">
        <v>2940</v>
      </c>
    </row>
    <row r="100" spans="1:16" s="10" customFormat="1" ht="15" customHeight="1" x14ac:dyDescent="0.2">
      <c r="A100" s="22" t="s">
        <v>85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4">
        <v>90875</v>
      </c>
      <c r="P100" s="5">
        <v>354470.5</v>
      </c>
    </row>
    <row r="101" spans="1:16" s="10" customFormat="1" ht="15" customHeight="1" outlineLevel="5" x14ac:dyDescent="0.2">
      <c r="A101" s="24" t="s">
        <v>86</v>
      </c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1">
        <v>6000</v>
      </c>
      <c r="P101" s="20">
        <v>11340</v>
      </c>
    </row>
    <row r="102" spans="1:16" s="10" customFormat="1" ht="15" customHeight="1" outlineLevel="5" x14ac:dyDescent="0.2">
      <c r="A102" s="24" t="s">
        <v>87</v>
      </c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1">
        <v>1500</v>
      </c>
      <c r="P102" s="20">
        <v>5265</v>
      </c>
    </row>
    <row r="103" spans="1:16" s="10" customFormat="1" ht="15" customHeight="1" outlineLevel="5" x14ac:dyDescent="0.2">
      <c r="A103" s="24" t="s">
        <v>88</v>
      </c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1">
        <v>2000</v>
      </c>
      <c r="P103" s="20">
        <v>4760</v>
      </c>
    </row>
    <row r="104" spans="1:16" s="10" customFormat="1" ht="15" customHeight="1" outlineLevel="5" x14ac:dyDescent="0.2">
      <c r="A104" s="24" t="s">
        <v>89</v>
      </c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1">
        <v>2000</v>
      </c>
      <c r="P104" s="20">
        <v>4760</v>
      </c>
    </row>
    <row r="105" spans="1:16" s="10" customFormat="1" ht="15" customHeight="1" outlineLevel="5" x14ac:dyDescent="0.2">
      <c r="A105" s="24" t="s">
        <v>90</v>
      </c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1">
        <v>1250</v>
      </c>
      <c r="P105" s="20">
        <v>3412.5</v>
      </c>
    </row>
    <row r="106" spans="1:16" s="10" customFormat="1" ht="15" customHeight="1" outlineLevel="5" x14ac:dyDescent="0.2">
      <c r="A106" s="24" t="s">
        <v>91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1">
        <v>4000</v>
      </c>
      <c r="P106" s="20">
        <v>14760</v>
      </c>
    </row>
    <row r="107" spans="1:16" s="10" customFormat="1" ht="15" customHeight="1" outlineLevel="5" x14ac:dyDescent="0.2">
      <c r="A107" s="24" t="s">
        <v>92</v>
      </c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1">
        <v>10000</v>
      </c>
      <c r="P107" s="20">
        <v>36900</v>
      </c>
    </row>
    <row r="108" spans="1:16" s="10" customFormat="1" ht="15" customHeight="1" outlineLevel="5" x14ac:dyDescent="0.2">
      <c r="A108" s="24" t="s">
        <v>93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9">
        <v>500</v>
      </c>
      <c r="P108" s="20">
        <v>1105</v>
      </c>
    </row>
    <row r="109" spans="1:16" s="10" customFormat="1" ht="15" customHeight="1" outlineLevel="5" x14ac:dyDescent="0.2">
      <c r="A109" s="24" t="s">
        <v>94</v>
      </c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9">
        <v>500</v>
      </c>
      <c r="P109" s="20">
        <v>1370</v>
      </c>
    </row>
    <row r="110" spans="1:16" s="10" customFormat="1" ht="15" customHeight="1" outlineLevel="5" x14ac:dyDescent="0.2">
      <c r="A110" s="24" t="s">
        <v>95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1">
        <v>2000</v>
      </c>
      <c r="P110" s="20">
        <v>6400</v>
      </c>
    </row>
    <row r="111" spans="1:16" s="10" customFormat="1" ht="15" customHeight="1" outlineLevel="5" x14ac:dyDescent="0.2">
      <c r="A111" s="24" t="s">
        <v>29</v>
      </c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9">
        <v>600</v>
      </c>
      <c r="P111" s="20">
        <v>3504</v>
      </c>
    </row>
    <row r="112" spans="1:16" s="10" customFormat="1" ht="15" customHeight="1" outlineLevel="5" x14ac:dyDescent="0.2">
      <c r="A112" s="24" t="s">
        <v>96</v>
      </c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1">
        <v>1550</v>
      </c>
      <c r="P112" s="20">
        <v>9052</v>
      </c>
    </row>
    <row r="113" spans="1:16" s="10" customFormat="1" ht="15" customHeight="1" outlineLevel="5" x14ac:dyDescent="0.2">
      <c r="A113" s="24" t="s">
        <v>97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9">
        <v>800</v>
      </c>
      <c r="P113" s="20">
        <v>4344</v>
      </c>
    </row>
    <row r="114" spans="1:16" s="10" customFormat="1" ht="15" customHeight="1" outlineLevel="5" x14ac:dyDescent="0.2">
      <c r="A114" s="24" t="s">
        <v>98</v>
      </c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1">
        <v>1000</v>
      </c>
      <c r="P114" s="20">
        <v>5375</v>
      </c>
    </row>
    <row r="115" spans="1:16" s="10" customFormat="1" ht="15" customHeight="1" outlineLevel="5" x14ac:dyDescent="0.2">
      <c r="A115" s="24" t="s">
        <v>99</v>
      </c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1">
        <v>1000</v>
      </c>
      <c r="P115" s="20">
        <v>5430</v>
      </c>
    </row>
    <row r="116" spans="1:16" s="10" customFormat="1" ht="15" customHeight="1" outlineLevel="5" x14ac:dyDescent="0.2">
      <c r="A116" s="24" t="s">
        <v>100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9">
        <v>775</v>
      </c>
      <c r="P116" s="20">
        <v>4208.25</v>
      </c>
    </row>
    <row r="117" spans="1:16" s="10" customFormat="1" ht="15" customHeight="1" outlineLevel="5" x14ac:dyDescent="0.2">
      <c r="A117" s="24" t="s">
        <v>101</v>
      </c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9">
        <v>675</v>
      </c>
      <c r="P117" s="20">
        <v>3665.25</v>
      </c>
    </row>
    <row r="118" spans="1:16" s="10" customFormat="1" ht="15" customHeight="1" outlineLevel="5" x14ac:dyDescent="0.2">
      <c r="A118" s="24" t="s">
        <v>102</v>
      </c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1">
        <v>2500</v>
      </c>
      <c r="P118" s="20">
        <v>13575</v>
      </c>
    </row>
    <row r="119" spans="1:16" s="10" customFormat="1" ht="15" customHeight="1" outlineLevel="5" x14ac:dyDescent="0.2">
      <c r="A119" s="24" t="s">
        <v>103</v>
      </c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9">
        <v>500</v>
      </c>
      <c r="P119" s="20">
        <v>1165</v>
      </c>
    </row>
    <row r="120" spans="1:16" s="10" customFormat="1" ht="15" customHeight="1" outlineLevel="5" x14ac:dyDescent="0.2">
      <c r="A120" s="24" t="s">
        <v>104</v>
      </c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9">
        <v>500</v>
      </c>
      <c r="P120" s="20">
        <v>1165</v>
      </c>
    </row>
    <row r="121" spans="1:16" s="10" customFormat="1" ht="15" customHeight="1" outlineLevel="5" x14ac:dyDescent="0.2">
      <c r="A121" s="24" t="s">
        <v>105</v>
      </c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1">
        <v>14200</v>
      </c>
      <c r="P121" s="20">
        <v>36920</v>
      </c>
    </row>
    <row r="122" spans="1:16" s="10" customFormat="1" ht="15" customHeight="1" outlineLevel="5" x14ac:dyDescent="0.2">
      <c r="A122" s="24" t="s">
        <v>106</v>
      </c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1">
        <v>6000</v>
      </c>
      <c r="P122" s="20">
        <v>15600</v>
      </c>
    </row>
    <row r="123" spans="1:16" s="10" customFormat="1" ht="15" customHeight="1" outlineLevel="5" x14ac:dyDescent="0.2">
      <c r="A123" s="24" t="s">
        <v>107</v>
      </c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1">
        <v>4800</v>
      </c>
      <c r="P123" s="20">
        <v>12480</v>
      </c>
    </row>
    <row r="124" spans="1:16" s="10" customFormat="1" ht="15" customHeight="1" outlineLevel="5" x14ac:dyDescent="0.2">
      <c r="A124" s="24" t="s">
        <v>108</v>
      </c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1">
        <v>15000</v>
      </c>
      <c r="P124" s="20">
        <v>39000</v>
      </c>
    </row>
    <row r="125" spans="1:16" s="10" customFormat="1" ht="15" customHeight="1" outlineLevel="5" x14ac:dyDescent="0.2">
      <c r="A125" s="24" t="s">
        <v>109</v>
      </c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9">
        <v>500</v>
      </c>
      <c r="P125" s="20">
        <v>4860</v>
      </c>
    </row>
    <row r="126" spans="1:16" s="10" customFormat="1" ht="15" customHeight="1" outlineLevel="4" x14ac:dyDescent="0.2">
      <c r="A126" s="27" t="s">
        <v>41</v>
      </c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1">
        <v>10300</v>
      </c>
      <c r="P126" s="20">
        <v>70864</v>
      </c>
    </row>
    <row r="127" spans="1:16" s="10" customFormat="1" ht="15" customHeight="1" outlineLevel="4" x14ac:dyDescent="0.2">
      <c r="A127" s="27" t="s">
        <v>110</v>
      </c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9">
        <v>300</v>
      </c>
      <c r="P127" s="20">
        <v>10833</v>
      </c>
    </row>
    <row r="128" spans="1:16" s="10" customFormat="1" ht="15" customHeight="1" outlineLevel="4" x14ac:dyDescent="0.2">
      <c r="A128" s="27" t="s">
        <v>32</v>
      </c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9">
        <v>125</v>
      </c>
      <c r="P128" s="20">
        <v>22357.5</v>
      </c>
    </row>
    <row r="129" spans="1:17" ht="15" customHeight="1" x14ac:dyDescent="0.2">
      <c r="A129" s="22" t="s">
        <v>111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4">
        <v>23500</v>
      </c>
      <c r="P129" s="5">
        <v>69585</v>
      </c>
    </row>
    <row r="130" spans="1:17" s="2" customFormat="1" ht="15" customHeight="1" outlineLevel="6" x14ac:dyDescent="0.2">
      <c r="A130" s="28" t="s">
        <v>112</v>
      </c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1">
        <v>1500</v>
      </c>
      <c r="P130" s="20">
        <v>2385</v>
      </c>
      <c r="Q130" s="16" t="s">
        <v>227</v>
      </c>
    </row>
    <row r="131" spans="1:17" s="2" customFormat="1" ht="15" customHeight="1" outlineLevel="5" x14ac:dyDescent="0.2">
      <c r="A131" s="24" t="s">
        <v>83</v>
      </c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9">
        <v>375</v>
      </c>
      <c r="P131" s="20">
        <v>1260</v>
      </c>
      <c r="Q131" s="16" t="s">
        <v>228</v>
      </c>
    </row>
    <row r="132" spans="1:17" s="2" customFormat="1" ht="15" customHeight="1" outlineLevel="5" x14ac:dyDescent="0.2">
      <c r="A132" s="24" t="s">
        <v>62</v>
      </c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1">
        <v>21625</v>
      </c>
      <c r="P132" s="20">
        <v>65940</v>
      </c>
    </row>
    <row r="133" spans="1:17" s="2" customFormat="1" ht="15" outlineLevel="6" x14ac:dyDescent="0.2">
      <c r="A133" s="25" t="s">
        <v>228</v>
      </c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1">
        <v>9625</v>
      </c>
      <c r="P133" s="20">
        <v>32340</v>
      </c>
    </row>
    <row r="134" spans="1:17" s="2" customFormat="1" ht="15" outlineLevel="6" x14ac:dyDescent="0.2">
      <c r="A134" s="25" t="s">
        <v>229</v>
      </c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1">
        <v>12000</v>
      </c>
      <c r="P134" s="20">
        <v>33600</v>
      </c>
    </row>
    <row r="135" spans="1:17" ht="15" customHeight="1" x14ac:dyDescent="0.2">
      <c r="A135" s="22" t="s">
        <v>111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4">
        <v>130500</v>
      </c>
      <c r="P135" s="5">
        <v>779291</v>
      </c>
    </row>
    <row r="136" spans="1:17" s="2" customFormat="1" ht="15" customHeight="1" outlineLevel="5" x14ac:dyDescent="0.2">
      <c r="A136" s="24" t="s">
        <v>113</v>
      </c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1">
        <v>1500</v>
      </c>
      <c r="P136" s="20">
        <v>24615</v>
      </c>
      <c r="Q136" s="16" t="s">
        <v>228</v>
      </c>
    </row>
    <row r="137" spans="1:17" s="2" customFormat="1" ht="15" customHeight="1" outlineLevel="5" x14ac:dyDescent="0.2">
      <c r="A137" s="24" t="s">
        <v>114</v>
      </c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1">
        <v>1000</v>
      </c>
      <c r="P137" s="20">
        <v>6180</v>
      </c>
      <c r="Q137" s="16" t="s">
        <v>230</v>
      </c>
    </row>
    <row r="138" spans="1:17" s="2" customFormat="1" ht="15" customHeight="1" outlineLevel="5" x14ac:dyDescent="0.2">
      <c r="A138" s="24" t="s">
        <v>58</v>
      </c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1">
        <v>1000</v>
      </c>
      <c r="P138" s="20">
        <v>2920</v>
      </c>
      <c r="Q138" s="16" t="s">
        <v>231</v>
      </c>
    </row>
    <row r="139" spans="1:17" s="2" customFormat="1" ht="15" customHeight="1" outlineLevel="5" x14ac:dyDescent="0.2">
      <c r="A139" s="24" t="s">
        <v>115</v>
      </c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1">
        <v>1000</v>
      </c>
      <c r="P139" s="20">
        <v>5750</v>
      </c>
      <c r="Q139" s="16" t="s">
        <v>232</v>
      </c>
    </row>
    <row r="140" spans="1:17" s="2" customFormat="1" ht="15" customHeight="1" outlineLevel="5" x14ac:dyDescent="0.2">
      <c r="A140" s="24" t="s">
        <v>116</v>
      </c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1">
        <v>5500</v>
      </c>
      <c r="P140" s="20">
        <v>112750</v>
      </c>
      <c r="Q140" s="16" t="s">
        <v>233</v>
      </c>
    </row>
    <row r="141" spans="1:17" s="2" customFormat="1" ht="15" customHeight="1" outlineLevel="5" x14ac:dyDescent="0.2">
      <c r="A141" s="24" t="s">
        <v>117</v>
      </c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1">
        <v>3000</v>
      </c>
      <c r="P141" s="20">
        <v>8910</v>
      </c>
      <c r="Q141" s="16" t="s">
        <v>232</v>
      </c>
    </row>
    <row r="142" spans="1:17" s="2" customFormat="1" ht="15" customHeight="1" outlineLevel="5" x14ac:dyDescent="0.2">
      <c r="A142" s="24" t="s">
        <v>118</v>
      </c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1">
        <v>9600</v>
      </c>
      <c r="P142" s="20">
        <v>28512</v>
      </c>
      <c r="Q142" s="16" t="s">
        <v>234</v>
      </c>
    </row>
    <row r="143" spans="1:17" s="2" customFormat="1" ht="15" customHeight="1" outlineLevel="5" x14ac:dyDescent="0.2">
      <c r="A143" s="24" t="s">
        <v>119</v>
      </c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1">
        <v>1500</v>
      </c>
      <c r="P143" s="20">
        <v>7050</v>
      </c>
      <c r="Q143" s="16" t="s">
        <v>235</v>
      </c>
    </row>
    <row r="144" spans="1:17" s="2" customFormat="1" ht="15" customHeight="1" outlineLevel="5" x14ac:dyDescent="0.2">
      <c r="A144" s="24" t="s">
        <v>120</v>
      </c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1">
        <v>1200</v>
      </c>
      <c r="P144" s="20">
        <v>5640</v>
      </c>
      <c r="Q144" s="16" t="s">
        <v>235</v>
      </c>
    </row>
    <row r="145" spans="1:17" s="2" customFormat="1" ht="15" customHeight="1" outlineLevel="5" x14ac:dyDescent="0.2">
      <c r="A145" s="24" t="s">
        <v>121</v>
      </c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1">
        <v>1200</v>
      </c>
      <c r="P145" s="20">
        <v>5640</v>
      </c>
      <c r="Q145" s="16" t="s">
        <v>235</v>
      </c>
    </row>
    <row r="146" spans="1:17" s="2" customFormat="1" ht="15" customHeight="1" outlineLevel="5" x14ac:dyDescent="0.2">
      <c r="A146" s="24" t="s">
        <v>122</v>
      </c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1">
        <v>1400</v>
      </c>
      <c r="P146" s="20">
        <v>6580</v>
      </c>
      <c r="Q146" s="16" t="s">
        <v>235</v>
      </c>
    </row>
    <row r="147" spans="1:17" s="2" customFormat="1" ht="15" customHeight="1" outlineLevel="5" x14ac:dyDescent="0.2">
      <c r="A147" s="24" t="s">
        <v>123</v>
      </c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1">
        <v>1500</v>
      </c>
      <c r="P147" s="20">
        <v>11100</v>
      </c>
      <c r="Q147" s="16" t="s">
        <v>228</v>
      </c>
    </row>
    <row r="148" spans="1:17" s="2" customFormat="1" ht="15" customHeight="1" outlineLevel="5" x14ac:dyDescent="0.2">
      <c r="A148" s="24" t="s">
        <v>124</v>
      </c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1">
        <v>9000</v>
      </c>
      <c r="P148" s="20">
        <v>24840</v>
      </c>
      <c r="Q148" s="16" t="s">
        <v>236</v>
      </c>
    </row>
    <row r="149" spans="1:17" s="2" customFormat="1" ht="15" customHeight="1" outlineLevel="5" x14ac:dyDescent="0.2">
      <c r="A149" s="24" t="s">
        <v>125</v>
      </c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9">
        <v>350</v>
      </c>
      <c r="P149" s="20">
        <v>1225</v>
      </c>
      <c r="Q149" s="16" t="s">
        <v>237</v>
      </c>
    </row>
    <row r="150" spans="1:17" s="2" customFormat="1" ht="15" customHeight="1" outlineLevel="5" x14ac:dyDescent="0.2">
      <c r="A150" s="24" t="s">
        <v>126</v>
      </c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9">
        <v>425</v>
      </c>
      <c r="P150" s="20">
        <v>1453.5</v>
      </c>
      <c r="Q150" s="16" t="s">
        <v>230</v>
      </c>
    </row>
    <row r="151" spans="1:17" s="2" customFormat="1" ht="15" customHeight="1" outlineLevel="5" x14ac:dyDescent="0.2">
      <c r="A151" s="24" t="s">
        <v>127</v>
      </c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9">
        <v>350</v>
      </c>
      <c r="P151" s="20">
        <v>1225</v>
      </c>
      <c r="Q151" s="16" t="s">
        <v>237</v>
      </c>
    </row>
    <row r="152" spans="1:17" s="2" customFormat="1" ht="15" customHeight="1" outlineLevel="5" x14ac:dyDescent="0.2">
      <c r="A152" s="24" t="s">
        <v>45</v>
      </c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9">
        <v>400</v>
      </c>
      <c r="P152" s="20">
        <v>1400</v>
      </c>
      <c r="Q152" s="16" t="s">
        <v>238</v>
      </c>
    </row>
    <row r="153" spans="1:17" s="2" customFormat="1" ht="15" customHeight="1" outlineLevel="5" x14ac:dyDescent="0.2">
      <c r="A153" s="24" t="s">
        <v>96</v>
      </c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9">
        <v>450</v>
      </c>
      <c r="P153" s="20">
        <v>3285</v>
      </c>
      <c r="Q153" s="16" t="s">
        <v>230</v>
      </c>
    </row>
    <row r="154" spans="1:17" s="2" customFormat="1" ht="15" customHeight="1" outlineLevel="5" x14ac:dyDescent="0.2">
      <c r="A154" s="24" t="s">
        <v>98</v>
      </c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9">
        <v>575</v>
      </c>
      <c r="P154" s="20">
        <v>4082.5</v>
      </c>
      <c r="Q154" s="16" t="s">
        <v>239</v>
      </c>
    </row>
    <row r="155" spans="1:17" s="2" customFormat="1" ht="15" customHeight="1" outlineLevel="5" x14ac:dyDescent="0.2">
      <c r="A155" s="24" t="s">
        <v>100</v>
      </c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9">
        <v>225</v>
      </c>
      <c r="P155" s="20">
        <v>1597.5</v>
      </c>
      <c r="Q155" s="16" t="s">
        <v>239</v>
      </c>
    </row>
    <row r="156" spans="1:17" s="2" customFormat="1" ht="15" customHeight="1" outlineLevel="5" x14ac:dyDescent="0.2">
      <c r="A156" s="24" t="s">
        <v>38</v>
      </c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1">
        <v>1500</v>
      </c>
      <c r="P156" s="20">
        <v>10185</v>
      </c>
      <c r="Q156" s="16" t="s">
        <v>230</v>
      </c>
    </row>
    <row r="157" spans="1:17" s="2" customFormat="1" ht="15" customHeight="1" outlineLevel="5" x14ac:dyDescent="0.2">
      <c r="A157" s="24" t="s">
        <v>128</v>
      </c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9">
        <v>700</v>
      </c>
      <c r="P157" s="20">
        <v>4830</v>
      </c>
      <c r="Q157" s="16" t="s">
        <v>237</v>
      </c>
    </row>
    <row r="158" spans="1:17" s="2" customFormat="1" ht="15" customHeight="1" outlineLevel="5" x14ac:dyDescent="0.2">
      <c r="A158" s="24" t="s">
        <v>129</v>
      </c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9">
        <v>200</v>
      </c>
      <c r="P158" s="11">
        <v>350</v>
      </c>
      <c r="Q158" s="16" t="s">
        <v>240</v>
      </c>
    </row>
    <row r="159" spans="1:17" s="2" customFormat="1" ht="15" customHeight="1" outlineLevel="5" x14ac:dyDescent="0.2">
      <c r="A159" s="24" t="s">
        <v>9</v>
      </c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1">
        <v>2800</v>
      </c>
      <c r="P159" s="20">
        <v>4900</v>
      </c>
      <c r="Q159" s="16"/>
    </row>
    <row r="160" spans="1:17" s="8" customFormat="1" ht="15" outlineLevel="6" x14ac:dyDescent="0.2">
      <c r="A160" s="29" t="s">
        <v>240</v>
      </c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6">
        <v>1800</v>
      </c>
      <c r="P160" s="7">
        <v>3150</v>
      </c>
    </row>
    <row r="161" spans="1:17" s="8" customFormat="1" ht="15" outlineLevel="6" x14ac:dyDescent="0.2">
      <c r="A161" s="29" t="s">
        <v>232</v>
      </c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6">
        <v>1000</v>
      </c>
      <c r="P161" s="7">
        <v>1750</v>
      </c>
    </row>
    <row r="162" spans="1:17" s="2" customFormat="1" ht="15" customHeight="1" outlineLevel="5" x14ac:dyDescent="0.2">
      <c r="A162" s="24" t="s">
        <v>130</v>
      </c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1">
        <v>1000</v>
      </c>
      <c r="P162" s="20">
        <v>2570</v>
      </c>
      <c r="Q162" s="16" t="s">
        <v>231</v>
      </c>
    </row>
    <row r="163" spans="1:17" s="2" customFormat="1" ht="15" customHeight="1" outlineLevel="5" x14ac:dyDescent="0.2">
      <c r="A163" s="24" t="s">
        <v>131</v>
      </c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1">
        <v>3000</v>
      </c>
      <c r="P163" s="20">
        <v>10350</v>
      </c>
      <c r="Q163" s="16" t="s">
        <v>233</v>
      </c>
    </row>
    <row r="164" spans="1:17" s="2" customFormat="1" ht="15" customHeight="1" outlineLevel="5" x14ac:dyDescent="0.2">
      <c r="A164" s="24" t="s">
        <v>132</v>
      </c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1">
        <v>20000</v>
      </c>
      <c r="P164" s="20">
        <v>70600</v>
      </c>
      <c r="Q164" s="16" t="s">
        <v>241</v>
      </c>
    </row>
    <row r="165" spans="1:17" s="2" customFormat="1" ht="15" customHeight="1" outlineLevel="5" x14ac:dyDescent="0.2">
      <c r="A165" s="24" t="s">
        <v>133</v>
      </c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1">
        <v>2500</v>
      </c>
      <c r="P165" s="20">
        <v>8625</v>
      </c>
      <c r="Q165" s="16" t="s">
        <v>242</v>
      </c>
    </row>
    <row r="166" spans="1:17" s="2" customFormat="1" ht="15" customHeight="1" outlineLevel="5" x14ac:dyDescent="0.2">
      <c r="A166" s="24" t="s">
        <v>106</v>
      </c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1">
        <v>11375</v>
      </c>
      <c r="P166" s="20">
        <v>37493.75</v>
      </c>
    </row>
    <row r="167" spans="1:17" s="8" customFormat="1" ht="15" outlineLevel="6" x14ac:dyDescent="0.2">
      <c r="A167" s="29" t="s">
        <v>243</v>
      </c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6">
        <v>5000</v>
      </c>
      <c r="P167" s="7">
        <v>16250</v>
      </c>
    </row>
    <row r="168" spans="1:17" s="8" customFormat="1" ht="15" outlineLevel="6" x14ac:dyDescent="0.2">
      <c r="A168" s="29" t="s">
        <v>232</v>
      </c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6">
        <v>5000</v>
      </c>
      <c r="P168" s="7">
        <v>16500</v>
      </c>
    </row>
    <row r="169" spans="1:17" s="8" customFormat="1" ht="15" outlineLevel="6" x14ac:dyDescent="0.2">
      <c r="A169" s="29" t="s">
        <v>242</v>
      </c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6">
        <v>1375</v>
      </c>
      <c r="P169" s="7">
        <v>4743.75</v>
      </c>
    </row>
    <row r="170" spans="1:17" s="2" customFormat="1" ht="15" customHeight="1" outlineLevel="5" x14ac:dyDescent="0.2">
      <c r="A170" s="24" t="s">
        <v>107</v>
      </c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9">
        <v>200</v>
      </c>
      <c r="P170" s="11">
        <v>690</v>
      </c>
      <c r="Q170" s="16" t="s">
        <v>242</v>
      </c>
    </row>
    <row r="171" spans="1:17" s="2" customFormat="1" ht="15" customHeight="1" outlineLevel="5" x14ac:dyDescent="0.2">
      <c r="A171" s="24" t="s">
        <v>108</v>
      </c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1">
        <v>3925</v>
      </c>
      <c r="P171" s="20">
        <v>13541.25</v>
      </c>
      <c r="Q171" s="16" t="s">
        <v>242</v>
      </c>
    </row>
    <row r="172" spans="1:17" s="2" customFormat="1" ht="15" customHeight="1" outlineLevel="5" x14ac:dyDescent="0.2">
      <c r="A172" s="24" t="s">
        <v>52</v>
      </c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1">
        <v>2500</v>
      </c>
      <c r="P172" s="20">
        <v>6625</v>
      </c>
      <c r="Q172" s="16" t="s">
        <v>239</v>
      </c>
    </row>
    <row r="173" spans="1:17" s="2" customFormat="1" ht="15" customHeight="1" outlineLevel="5" x14ac:dyDescent="0.2">
      <c r="A173" s="24" t="s">
        <v>10</v>
      </c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1">
        <v>2500</v>
      </c>
      <c r="P173" s="20">
        <v>6625</v>
      </c>
      <c r="Q173" s="16" t="s">
        <v>239</v>
      </c>
    </row>
    <row r="174" spans="1:17" s="2" customFormat="1" ht="15" customHeight="1" outlineLevel="5" x14ac:dyDescent="0.2">
      <c r="A174" s="24" t="s">
        <v>54</v>
      </c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1">
        <v>1250</v>
      </c>
      <c r="P174" s="20">
        <v>3312.5</v>
      </c>
      <c r="Q174" s="16" t="s">
        <v>239</v>
      </c>
    </row>
    <row r="175" spans="1:17" s="2" customFormat="1" ht="15" customHeight="1" outlineLevel="5" x14ac:dyDescent="0.2">
      <c r="A175" s="32" t="s">
        <v>249</v>
      </c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21">
        <v>500</v>
      </c>
      <c r="P175" s="20">
        <v>12345</v>
      </c>
      <c r="Q175" s="16" t="s">
        <v>229</v>
      </c>
    </row>
    <row r="176" spans="1:17" s="2" customFormat="1" ht="15" customHeight="1" outlineLevel="5" x14ac:dyDescent="0.2">
      <c r="A176" s="25" t="s">
        <v>250</v>
      </c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1">
        <v>500</v>
      </c>
      <c r="P176" s="20">
        <v>12475</v>
      </c>
      <c r="Q176" s="16" t="s">
        <v>232</v>
      </c>
    </row>
    <row r="177" spans="1:17" s="2" customFormat="1" ht="15" customHeight="1" outlineLevel="4" x14ac:dyDescent="0.2">
      <c r="A177" s="27" t="s">
        <v>41</v>
      </c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1">
        <v>24800</v>
      </c>
      <c r="P177" s="20">
        <v>202320</v>
      </c>
    </row>
    <row r="178" spans="1:17" s="8" customFormat="1" ht="15" customHeight="1" outlineLevel="5" x14ac:dyDescent="0.2">
      <c r="A178" s="29" t="s">
        <v>242</v>
      </c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6">
        <v>400</v>
      </c>
      <c r="P178" s="7">
        <v>3300</v>
      </c>
    </row>
    <row r="179" spans="1:17" s="8" customFormat="1" ht="15" outlineLevel="5" x14ac:dyDescent="0.2">
      <c r="A179" s="29" t="s">
        <v>244</v>
      </c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6">
        <v>4000</v>
      </c>
      <c r="P179" s="7">
        <v>32800</v>
      </c>
    </row>
    <row r="180" spans="1:17" s="8" customFormat="1" ht="15" outlineLevel="5" x14ac:dyDescent="0.2">
      <c r="A180" s="29" t="s">
        <v>228</v>
      </c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6">
        <v>10000</v>
      </c>
      <c r="P180" s="7">
        <v>82500</v>
      </c>
    </row>
    <row r="181" spans="1:17" s="8" customFormat="1" ht="15" outlineLevel="5" x14ac:dyDescent="0.2">
      <c r="A181" s="29" t="s">
        <v>245</v>
      </c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6">
        <v>4000</v>
      </c>
      <c r="P181" s="7">
        <v>32200</v>
      </c>
    </row>
    <row r="182" spans="1:17" s="8" customFormat="1" ht="15" outlineLevel="5" x14ac:dyDescent="0.2">
      <c r="A182" s="29" t="s">
        <v>239</v>
      </c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6">
        <v>6400</v>
      </c>
      <c r="P182" s="7">
        <v>51520</v>
      </c>
    </row>
    <row r="183" spans="1:17" s="8" customFormat="1" ht="15" customHeight="1" outlineLevel="4" x14ac:dyDescent="0.2">
      <c r="A183" s="30" t="s">
        <v>31</v>
      </c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17">
        <v>925</v>
      </c>
      <c r="P183" s="7">
        <v>9768</v>
      </c>
    </row>
    <row r="184" spans="1:17" s="8" customFormat="1" ht="15" outlineLevel="5" x14ac:dyDescent="0.2">
      <c r="A184" s="29" t="s">
        <v>244</v>
      </c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17">
        <v>400</v>
      </c>
      <c r="P184" s="7">
        <v>4280</v>
      </c>
    </row>
    <row r="185" spans="1:17" s="8" customFormat="1" ht="15" outlineLevel="5" x14ac:dyDescent="0.2">
      <c r="A185" s="29" t="s">
        <v>245</v>
      </c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17">
        <v>25</v>
      </c>
      <c r="P185" s="7">
        <v>263</v>
      </c>
    </row>
    <row r="186" spans="1:17" s="8" customFormat="1" ht="15" customHeight="1" outlineLevel="5" x14ac:dyDescent="0.2">
      <c r="A186" s="29" t="s">
        <v>246</v>
      </c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17">
        <v>500</v>
      </c>
      <c r="P186" s="7">
        <v>5225</v>
      </c>
    </row>
    <row r="187" spans="1:17" s="8" customFormat="1" ht="15" customHeight="1" outlineLevel="5" x14ac:dyDescent="0.2">
      <c r="A187" s="23" t="s">
        <v>12</v>
      </c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6">
        <v>4500</v>
      </c>
      <c r="P187" s="7">
        <v>20535</v>
      </c>
      <c r="Q187" s="18" t="s">
        <v>246</v>
      </c>
    </row>
    <row r="188" spans="1:17" s="8" customFormat="1" ht="15" customHeight="1" outlineLevel="5" x14ac:dyDescent="0.2">
      <c r="A188" s="23" t="s">
        <v>25</v>
      </c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6">
        <v>4650</v>
      </c>
      <c r="P188" s="7">
        <v>76395</v>
      </c>
    </row>
    <row r="189" spans="1:17" s="8" customFormat="1" ht="15" outlineLevel="6" x14ac:dyDescent="0.2">
      <c r="A189" s="29" t="s">
        <v>229</v>
      </c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6">
        <v>250</v>
      </c>
      <c r="P189" s="7">
        <v>4190</v>
      </c>
    </row>
    <row r="190" spans="1:17" s="8" customFormat="1" ht="15" outlineLevel="6" x14ac:dyDescent="0.2">
      <c r="A190" s="29" t="s">
        <v>228</v>
      </c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6">
        <v>600</v>
      </c>
      <c r="P190" s="7">
        <v>9942</v>
      </c>
    </row>
    <row r="191" spans="1:17" s="8" customFormat="1" ht="15" outlineLevel="6" x14ac:dyDescent="0.2">
      <c r="A191" s="29" t="s">
        <v>247</v>
      </c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6">
        <v>3000</v>
      </c>
      <c r="P191" s="7">
        <v>49200</v>
      </c>
    </row>
    <row r="192" spans="1:17" s="8" customFormat="1" ht="15" outlineLevel="6" x14ac:dyDescent="0.2">
      <c r="A192" s="29" t="s">
        <v>248</v>
      </c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6">
        <v>800</v>
      </c>
      <c r="P192" s="7">
        <v>13063</v>
      </c>
    </row>
    <row r="193" spans="1:16" s="2" customFormat="1" ht="15" customHeight="1" x14ac:dyDescent="0.2">
      <c r="A193" s="22" t="s">
        <v>135</v>
      </c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4">
        <v>21000</v>
      </c>
      <c r="P193" s="5">
        <v>61670</v>
      </c>
    </row>
    <row r="194" spans="1:16" s="2" customFormat="1" ht="15" customHeight="1" outlineLevel="5" x14ac:dyDescent="0.2">
      <c r="A194" s="24" t="s">
        <v>136</v>
      </c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1">
        <v>5000</v>
      </c>
      <c r="P194" s="20">
        <v>19750</v>
      </c>
    </row>
    <row r="195" spans="1:16" s="2" customFormat="1" ht="15" customHeight="1" outlineLevel="5" x14ac:dyDescent="0.2">
      <c r="A195" s="24" t="s">
        <v>62</v>
      </c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1">
        <v>16000</v>
      </c>
      <c r="P195" s="20">
        <v>41920</v>
      </c>
    </row>
    <row r="196" spans="1:16" s="2" customFormat="1" ht="15" customHeight="1" x14ac:dyDescent="0.2">
      <c r="A196" s="22" t="s">
        <v>137</v>
      </c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4">
        <v>11800</v>
      </c>
      <c r="P196" s="5">
        <v>41278</v>
      </c>
    </row>
    <row r="197" spans="1:16" s="2" customFormat="1" ht="15" customHeight="1" outlineLevel="5" x14ac:dyDescent="0.2">
      <c r="A197" s="24" t="s">
        <v>138</v>
      </c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9">
        <v>500</v>
      </c>
      <c r="P197" s="20">
        <v>1380</v>
      </c>
    </row>
    <row r="198" spans="1:16" s="2" customFormat="1" ht="15" customHeight="1" outlineLevel="5" x14ac:dyDescent="0.2">
      <c r="A198" s="24" t="s">
        <v>99</v>
      </c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9">
        <v>700</v>
      </c>
      <c r="P198" s="20">
        <v>4711</v>
      </c>
    </row>
    <row r="199" spans="1:16" s="2" customFormat="1" ht="15" customHeight="1" outlineLevel="5" x14ac:dyDescent="0.2">
      <c r="A199" s="24" t="s">
        <v>139</v>
      </c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9">
        <v>500</v>
      </c>
      <c r="P199" s="20">
        <v>1490</v>
      </c>
    </row>
    <row r="200" spans="1:16" s="2" customFormat="1" ht="15" customHeight="1" outlineLevel="5" x14ac:dyDescent="0.2">
      <c r="A200" s="24" t="s">
        <v>84</v>
      </c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1">
        <v>1875</v>
      </c>
      <c r="P200" s="20">
        <v>5250</v>
      </c>
    </row>
    <row r="201" spans="1:16" s="2" customFormat="1" ht="15" customHeight="1" outlineLevel="5" x14ac:dyDescent="0.2">
      <c r="A201" s="24" t="s">
        <v>62</v>
      </c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9">
        <v>125</v>
      </c>
      <c r="P201" s="11">
        <v>350</v>
      </c>
    </row>
    <row r="202" spans="1:16" s="2" customFormat="1" ht="15" customHeight="1" outlineLevel="5" x14ac:dyDescent="0.2">
      <c r="A202" s="24" t="s">
        <v>133</v>
      </c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1">
        <v>4500</v>
      </c>
      <c r="P202" s="20">
        <v>14625</v>
      </c>
    </row>
    <row r="203" spans="1:16" s="2" customFormat="1" ht="15" customHeight="1" outlineLevel="5" x14ac:dyDescent="0.2">
      <c r="A203" s="24" t="s">
        <v>140</v>
      </c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1">
        <v>3500</v>
      </c>
      <c r="P203" s="20">
        <v>12075</v>
      </c>
    </row>
    <row r="204" spans="1:16" s="2" customFormat="1" ht="15" customHeight="1" outlineLevel="5" x14ac:dyDescent="0.2">
      <c r="A204" s="24" t="s">
        <v>25</v>
      </c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9">
        <v>100</v>
      </c>
      <c r="P204" s="20">
        <v>1397</v>
      </c>
    </row>
    <row r="205" spans="1:16" s="2" customFormat="1" ht="15" customHeight="1" x14ac:dyDescent="0.2">
      <c r="A205" s="22" t="s">
        <v>141</v>
      </c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33">
        <v>500</v>
      </c>
      <c r="P205" s="5">
        <v>3650</v>
      </c>
    </row>
    <row r="206" spans="1:16" s="2" customFormat="1" ht="15" customHeight="1" outlineLevel="4" x14ac:dyDescent="0.2">
      <c r="A206" s="27" t="s">
        <v>134</v>
      </c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9">
        <v>500</v>
      </c>
      <c r="P206" s="20">
        <v>3650</v>
      </c>
    </row>
    <row r="207" spans="1:16" s="2" customFormat="1" ht="15" customHeight="1" x14ac:dyDescent="0.2">
      <c r="A207" s="22" t="s">
        <v>142</v>
      </c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33">
        <v>5</v>
      </c>
      <c r="P207" s="34">
        <v>939.6</v>
      </c>
    </row>
    <row r="208" spans="1:16" s="2" customFormat="1" ht="15" customHeight="1" outlineLevel="4" x14ac:dyDescent="0.2">
      <c r="A208" s="27" t="s">
        <v>32</v>
      </c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9">
        <v>5</v>
      </c>
      <c r="P208" s="11">
        <v>939.6</v>
      </c>
    </row>
    <row r="209" spans="1:16" s="2" customFormat="1" ht="15" customHeight="1" x14ac:dyDescent="0.2">
      <c r="A209" s="22" t="s">
        <v>143</v>
      </c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4">
        <v>6000</v>
      </c>
      <c r="P209" s="5">
        <v>16800</v>
      </c>
    </row>
    <row r="210" spans="1:16" s="2" customFormat="1" ht="15" customHeight="1" outlineLevel="5" x14ac:dyDescent="0.2">
      <c r="A210" s="24" t="s">
        <v>62</v>
      </c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1">
        <v>6000</v>
      </c>
      <c r="P210" s="20">
        <v>16800</v>
      </c>
    </row>
    <row r="211" spans="1:16" s="10" customFormat="1" ht="15" customHeight="1" x14ac:dyDescent="0.2">
      <c r="A211" s="22" t="s">
        <v>144</v>
      </c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4">
        <v>15500</v>
      </c>
      <c r="P211" s="5">
        <v>37400</v>
      </c>
    </row>
    <row r="212" spans="1:16" s="10" customFormat="1" ht="15" customHeight="1" outlineLevel="5" x14ac:dyDescent="0.2">
      <c r="A212" s="24" t="s">
        <v>96</v>
      </c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9">
        <v>500</v>
      </c>
      <c r="P212" s="20">
        <v>3650</v>
      </c>
    </row>
    <row r="213" spans="1:16" s="10" customFormat="1" ht="15" customHeight="1" outlineLevel="5" x14ac:dyDescent="0.2">
      <c r="A213" s="24" t="s">
        <v>78</v>
      </c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1">
        <v>9800</v>
      </c>
      <c r="P213" s="20">
        <v>17150</v>
      </c>
    </row>
    <row r="214" spans="1:16" s="10" customFormat="1" ht="15" customHeight="1" outlineLevel="5" x14ac:dyDescent="0.2">
      <c r="A214" s="24" t="s">
        <v>9</v>
      </c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9">
        <v>200</v>
      </c>
      <c r="P214" s="11">
        <v>350</v>
      </c>
    </row>
    <row r="215" spans="1:16" s="10" customFormat="1" ht="15" customHeight="1" outlineLevel="5" x14ac:dyDescent="0.2">
      <c r="A215" s="24" t="s">
        <v>107</v>
      </c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1">
        <v>5000</v>
      </c>
      <c r="P215" s="20">
        <v>16250</v>
      </c>
    </row>
    <row r="216" spans="1:16" s="10" customFormat="1" ht="15" customHeight="1" x14ac:dyDescent="0.2">
      <c r="A216" s="22" t="s">
        <v>145</v>
      </c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4">
        <v>4000</v>
      </c>
      <c r="P216" s="5">
        <v>30400</v>
      </c>
    </row>
    <row r="217" spans="1:16" s="10" customFormat="1" ht="15" customHeight="1" outlineLevel="4" x14ac:dyDescent="0.2">
      <c r="A217" s="27" t="s">
        <v>41</v>
      </c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1">
        <v>4000</v>
      </c>
      <c r="P217" s="20">
        <v>30400</v>
      </c>
    </row>
    <row r="218" spans="1:16" s="10" customFormat="1" ht="15" customHeight="1" x14ac:dyDescent="0.2">
      <c r="A218" s="22" t="s">
        <v>146</v>
      </c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4">
        <v>13000</v>
      </c>
      <c r="P218" s="5">
        <v>69755</v>
      </c>
    </row>
    <row r="219" spans="1:16" s="10" customFormat="1" ht="15" customHeight="1" outlineLevel="5" x14ac:dyDescent="0.2">
      <c r="A219" s="24" t="s">
        <v>147</v>
      </c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1">
        <v>3500</v>
      </c>
      <c r="P219" s="20">
        <v>33285</v>
      </c>
    </row>
    <row r="220" spans="1:16" s="10" customFormat="1" ht="15" customHeight="1" outlineLevel="5" x14ac:dyDescent="0.2">
      <c r="A220" s="24" t="s">
        <v>148</v>
      </c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1">
        <v>8000</v>
      </c>
      <c r="P220" s="20">
        <v>25520</v>
      </c>
    </row>
    <row r="221" spans="1:16" s="10" customFormat="1" ht="15" customHeight="1" outlineLevel="5" x14ac:dyDescent="0.2">
      <c r="A221" s="24" t="s">
        <v>96</v>
      </c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1">
        <v>1500</v>
      </c>
      <c r="P221" s="20">
        <v>10950</v>
      </c>
    </row>
    <row r="222" spans="1:16" s="10" customFormat="1" ht="15" customHeight="1" x14ac:dyDescent="0.2">
      <c r="A222" s="22" t="s">
        <v>149</v>
      </c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4">
        <v>4000</v>
      </c>
      <c r="P222" s="5">
        <v>18880</v>
      </c>
    </row>
    <row r="223" spans="1:16" s="10" customFormat="1" ht="15" customHeight="1" outlineLevel="5" x14ac:dyDescent="0.2">
      <c r="A223" s="24" t="s">
        <v>150</v>
      </c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1">
        <v>2000</v>
      </c>
      <c r="P223" s="20">
        <v>11060</v>
      </c>
    </row>
    <row r="224" spans="1:16" s="10" customFormat="1" ht="15" customHeight="1" outlineLevel="5" x14ac:dyDescent="0.2">
      <c r="A224" s="24" t="s">
        <v>12</v>
      </c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1">
        <v>2000</v>
      </c>
      <c r="P224" s="20">
        <v>7820</v>
      </c>
    </row>
    <row r="225" spans="1:16" s="10" customFormat="1" ht="15" customHeight="1" x14ac:dyDescent="0.2">
      <c r="A225" s="22" t="s">
        <v>151</v>
      </c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33">
        <v>175</v>
      </c>
      <c r="P225" s="5">
        <v>9665</v>
      </c>
    </row>
    <row r="226" spans="1:16" s="10" customFormat="1" ht="15" customHeight="1" outlineLevel="4" x14ac:dyDescent="0.2">
      <c r="A226" s="27" t="s">
        <v>32</v>
      </c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9">
        <v>50</v>
      </c>
      <c r="P226" s="20">
        <v>9182.5</v>
      </c>
    </row>
    <row r="227" spans="1:16" s="10" customFormat="1" ht="15" customHeight="1" outlineLevel="5" x14ac:dyDescent="0.2">
      <c r="A227" s="24" t="s">
        <v>12</v>
      </c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9">
        <v>125</v>
      </c>
      <c r="P227" s="11">
        <v>482.5</v>
      </c>
    </row>
    <row r="228" spans="1:16" s="10" customFormat="1" ht="15" customHeight="1" x14ac:dyDescent="0.2">
      <c r="A228" s="22" t="s">
        <v>152</v>
      </c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4">
        <v>7350</v>
      </c>
      <c r="P228" s="5">
        <v>50512</v>
      </c>
    </row>
    <row r="229" spans="1:16" s="10" customFormat="1" ht="15" customHeight="1" outlineLevel="5" x14ac:dyDescent="0.2">
      <c r="A229" s="24" t="s">
        <v>153</v>
      </c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1">
        <v>4000</v>
      </c>
      <c r="P229" s="20">
        <v>15840</v>
      </c>
    </row>
    <row r="230" spans="1:16" s="10" customFormat="1" ht="15" customHeight="1" outlineLevel="5" x14ac:dyDescent="0.2">
      <c r="A230" s="24" t="s">
        <v>96</v>
      </c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1">
        <v>2400</v>
      </c>
      <c r="P230" s="20">
        <v>17520</v>
      </c>
    </row>
    <row r="231" spans="1:16" s="10" customFormat="1" ht="15" customHeight="1" outlineLevel="5" x14ac:dyDescent="0.2">
      <c r="A231" s="32" t="s">
        <v>224</v>
      </c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21">
        <v>550</v>
      </c>
      <c r="P231" s="20">
        <v>13580</v>
      </c>
    </row>
    <row r="232" spans="1:16" s="10" customFormat="1" ht="15" customHeight="1" outlineLevel="4" x14ac:dyDescent="0.2">
      <c r="A232" s="27" t="s">
        <v>31</v>
      </c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9">
        <v>400</v>
      </c>
      <c r="P232" s="20">
        <v>3572</v>
      </c>
    </row>
    <row r="233" spans="1:16" s="10" customFormat="1" ht="15" customHeight="1" x14ac:dyDescent="0.2">
      <c r="A233" s="22" t="s">
        <v>154</v>
      </c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33">
        <v>50</v>
      </c>
      <c r="P233" s="34">
        <v>447.5</v>
      </c>
    </row>
    <row r="234" spans="1:16" s="10" customFormat="1" ht="15" customHeight="1" outlineLevel="4" x14ac:dyDescent="0.2">
      <c r="A234" s="27" t="s">
        <v>31</v>
      </c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9">
        <v>50</v>
      </c>
      <c r="P234" s="11">
        <v>447.5</v>
      </c>
    </row>
    <row r="235" spans="1:16" s="10" customFormat="1" ht="15" customHeight="1" x14ac:dyDescent="0.2">
      <c r="A235" s="22" t="s">
        <v>155</v>
      </c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4">
        <v>1500</v>
      </c>
      <c r="P235" s="5">
        <v>16420</v>
      </c>
    </row>
    <row r="236" spans="1:16" s="10" customFormat="1" ht="15" customHeight="1" outlineLevel="5" x14ac:dyDescent="0.2">
      <c r="A236" s="24" t="s">
        <v>72</v>
      </c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9">
        <v>500</v>
      </c>
      <c r="P236" s="20">
        <v>9610</v>
      </c>
    </row>
    <row r="237" spans="1:16" s="10" customFormat="1" ht="15" customHeight="1" outlineLevel="5" x14ac:dyDescent="0.2">
      <c r="A237" s="24" t="s">
        <v>156</v>
      </c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1">
        <v>1000</v>
      </c>
      <c r="P237" s="20">
        <v>6810</v>
      </c>
    </row>
    <row r="238" spans="1:16" s="10" customFormat="1" ht="15" customHeight="1" x14ac:dyDescent="0.2">
      <c r="A238" s="22" t="s">
        <v>157</v>
      </c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33">
        <v>250</v>
      </c>
      <c r="P238" s="5">
        <v>2250</v>
      </c>
    </row>
    <row r="239" spans="1:16" s="10" customFormat="1" ht="15" customHeight="1" outlineLevel="4" x14ac:dyDescent="0.2">
      <c r="A239" s="27" t="s">
        <v>31</v>
      </c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9">
        <v>250</v>
      </c>
      <c r="P239" s="20">
        <v>2250</v>
      </c>
    </row>
    <row r="240" spans="1:16" s="10" customFormat="1" ht="15" customHeight="1" x14ac:dyDescent="0.2">
      <c r="A240" s="22" t="s">
        <v>158</v>
      </c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4">
        <v>12000</v>
      </c>
      <c r="P240" s="5">
        <v>53420</v>
      </c>
    </row>
    <row r="241" spans="1:16" s="10" customFormat="1" ht="15" customHeight="1" outlineLevel="5" x14ac:dyDescent="0.2">
      <c r="A241" s="24" t="s">
        <v>159</v>
      </c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1">
        <v>5000</v>
      </c>
      <c r="P241" s="20">
        <v>23350</v>
      </c>
    </row>
    <row r="242" spans="1:16" s="10" customFormat="1" ht="15" customHeight="1" outlineLevel="5" x14ac:dyDescent="0.2">
      <c r="A242" s="24" t="s">
        <v>160</v>
      </c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1">
        <v>1000</v>
      </c>
      <c r="P242" s="20">
        <v>4670</v>
      </c>
    </row>
    <row r="243" spans="1:16" s="10" customFormat="1" ht="15" customHeight="1" outlineLevel="5" x14ac:dyDescent="0.2">
      <c r="A243" s="24" t="s">
        <v>161</v>
      </c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9">
        <v>750</v>
      </c>
      <c r="P243" s="20">
        <v>2415</v>
      </c>
    </row>
    <row r="244" spans="1:16" s="10" customFormat="1" ht="15" customHeight="1" outlineLevel="5" x14ac:dyDescent="0.2">
      <c r="A244" s="24" t="s">
        <v>125</v>
      </c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9">
        <v>250</v>
      </c>
      <c r="P244" s="11">
        <v>805</v>
      </c>
    </row>
    <row r="245" spans="1:16" s="10" customFormat="1" ht="15" customHeight="1" outlineLevel="5" x14ac:dyDescent="0.2">
      <c r="A245" s="24" t="s">
        <v>162</v>
      </c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1">
        <v>1000</v>
      </c>
      <c r="P245" s="20">
        <v>12900</v>
      </c>
    </row>
    <row r="246" spans="1:16" s="10" customFormat="1" ht="15" customHeight="1" outlineLevel="5" x14ac:dyDescent="0.2">
      <c r="A246" s="24" t="s">
        <v>163</v>
      </c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1">
        <v>1000</v>
      </c>
      <c r="P246" s="20">
        <v>3220</v>
      </c>
    </row>
    <row r="247" spans="1:16" s="10" customFormat="1" ht="15" customHeight="1" outlineLevel="5" x14ac:dyDescent="0.2">
      <c r="A247" s="24" t="s">
        <v>164</v>
      </c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1">
        <v>1000</v>
      </c>
      <c r="P247" s="20">
        <v>2700</v>
      </c>
    </row>
    <row r="248" spans="1:16" s="10" customFormat="1" ht="15" customHeight="1" outlineLevel="5" x14ac:dyDescent="0.2">
      <c r="A248" s="24" t="s">
        <v>129</v>
      </c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1">
        <v>2000</v>
      </c>
      <c r="P248" s="20">
        <v>3360</v>
      </c>
    </row>
    <row r="249" spans="1:16" s="10" customFormat="1" ht="15" customHeight="1" x14ac:dyDescent="0.2">
      <c r="A249" s="22" t="s">
        <v>165</v>
      </c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4">
        <v>3000</v>
      </c>
      <c r="P249" s="5">
        <v>4980</v>
      </c>
    </row>
    <row r="250" spans="1:16" s="10" customFormat="1" ht="32.25" customHeight="1" outlineLevel="6" x14ac:dyDescent="0.2">
      <c r="A250" s="28" t="s">
        <v>82</v>
      </c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1">
        <v>3000</v>
      </c>
      <c r="P250" s="20">
        <v>4980</v>
      </c>
    </row>
    <row r="251" spans="1:16" s="10" customFormat="1" ht="15" customHeight="1" x14ac:dyDescent="0.2">
      <c r="A251" s="22" t="s">
        <v>166</v>
      </c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33">
        <v>300</v>
      </c>
      <c r="P251" s="5">
        <v>1170</v>
      </c>
    </row>
    <row r="252" spans="1:16" s="10" customFormat="1" ht="15" customHeight="1" outlineLevel="5" x14ac:dyDescent="0.2">
      <c r="A252" s="24" t="s">
        <v>12</v>
      </c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9">
        <v>300</v>
      </c>
      <c r="P252" s="20">
        <v>1170</v>
      </c>
    </row>
    <row r="253" spans="1:16" s="10" customFormat="1" ht="15" customHeight="1" x14ac:dyDescent="0.2">
      <c r="A253" s="22" t="s">
        <v>167</v>
      </c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33">
        <v>1</v>
      </c>
      <c r="P253" s="34">
        <v>187.92</v>
      </c>
    </row>
    <row r="254" spans="1:16" s="10" customFormat="1" ht="15" customHeight="1" outlineLevel="4" x14ac:dyDescent="0.2">
      <c r="A254" s="27" t="s">
        <v>32</v>
      </c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9">
        <v>1</v>
      </c>
      <c r="P254" s="11">
        <v>187.92</v>
      </c>
    </row>
    <row r="255" spans="1:16" s="10" customFormat="1" ht="15" customHeight="1" x14ac:dyDescent="0.2">
      <c r="A255" s="22" t="s">
        <v>168</v>
      </c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4">
        <v>11750</v>
      </c>
      <c r="P255" s="5">
        <v>70592.5</v>
      </c>
    </row>
    <row r="256" spans="1:16" s="10" customFormat="1" ht="15" customHeight="1" outlineLevel="5" x14ac:dyDescent="0.2">
      <c r="A256" s="24" t="s">
        <v>169</v>
      </c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1">
        <v>1000</v>
      </c>
      <c r="P256" s="20">
        <v>14910</v>
      </c>
    </row>
    <row r="257" spans="1:16" s="10" customFormat="1" ht="15" customHeight="1" outlineLevel="5" x14ac:dyDescent="0.2">
      <c r="A257" s="24" t="s">
        <v>170</v>
      </c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1">
        <v>3000</v>
      </c>
      <c r="P257" s="20">
        <v>10620</v>
      </c>
    </row>
    <row r="258" spans="1:16" s="10" customFormat="1" ht="15" customHeight="1" outlineLevel="5" x14ac:dyDescent="0.2">
      <c r="A258" s="24" t="s">
        <v>171</v>
      </c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1">
        <v>1000</v>
      </c>
      <c r="P258" s="20">
        <v>5150</v>
      </c>
    </row>
    <row r="259" spans="1:16" s="10" customFormat="1" ht="15" customHeight="1" outlineLevel="5" x14ac:dyDescent="0.2">
      <c r="A259" s="24" t="s">
        <v>172</v>
      </c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1">
        <v>2000</v>
      </c>
      <c r="P259" s="20">
        <v>7100</v>
      </c>
    </row>
    <row r="260" spans="1:16" s="10" customFormat="1" ht="15" customHeight="1" outlineLevel="5" x14ac:dyDescent="0.2">
      <c r="A260" s="24" t="s">
        <v>173</v>
      </c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1">
        <v>4000</v>
      </c>
      <c r="P260" s="20">
        <v>23720</v>
      </c>
    </row>
    <row r="261" spans="1:16" s="10" customFormat="1" ht="15" customHeight="1" outlineLevel="4" x14ac:dyDescent="0.2">
      <c r="A261" s="27" t="s">
        <v>31</v>
      </c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1">
        <v>250</v>
      </c>
      <c r="P261" s="20">
        <v>2257.5</v>
      </c>
    </row>
    <row r="262" spans="1:16" s="10" customFormat="1" ht="15" customHeight="1" outlineLevel="5" x14ac:dyDescent="0.2">
      <c r="A262" s="24" t="s">
        <v>25</v>
      </c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9">
        <v>500</v>
      </c>
      <c r="P262" s="20">
        <v>6835</v>
      </c>
    </row>
    <row r="263" spans="1:16" s="10" customFormat="1" ht="15" customHeight="1" x14ac:dyDescent="0.2">
      <c r="A263" s="22" t="s">
        <v>174</v>
      </c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33">
        <v>25</v>
      </c>
      <c r="P263" s="5">
        <v>4591.25</v>
      </c>
    </row>
    <row r="264" spans="1:16" s="10" customFormat="1" ht="15" customHeight="1" outlineLevel="4" x14ac:dyDescent="0.2">
      <c r="A264" s="27" t="s">
        <v>32</v>
      </c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9">
        <v>25</v>
      </c>
      <c r="P264" s="20">
        <v>4591.25</v>
      </c>
    </row>
    <row r="265" spans="1:16" s="10" customFormat="1" ht="15" customHeight="1" x14ac:dyDescent="0.2">
      <c r="A265" s="22" t="s">
        <v>175</v>
      </c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4">
        <v>5575</v>
      </c>
      <c r="P265" s="5">
        <v>22172.75</v>
      </c>
    </row>
    <row r="266" spans="1:16" s="10" customFormat="1" ht="15" customHeight="1" outlineLevel="5" x14ac:dyDescent="0.2">
      <c r="A266" s="24" t="s">
        <v>78</v>
      </c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1">
        <v>1000</v>
      </c>
      <c r="P266" s="20">
        <v>1750</v>
      </c>
    </row>
    <row r="267" spans="1:16" s="10" customFormat="1" ht="15" customHeight="1" outlineLevel="5" x14ac:dyDescent="0.2">
      <c r="A267" s="24" t="s">
        <v>176</v>
      </c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1">
        <v>1500</v>
      </c>
      <c r="P267" s="20">
        <v>5175</v>
      </c>
    </row>
    <row r="268" spans="1:16" s="10" customFormat="1" ht="15" customHeight="1" outlineLevel="5" x14ac:dyDescent="0.2">
      <c r="A268" s="24" t="s">
        <v>177</v>
      </c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1">
        <v>2000</v>
      </c>
      <c r="P268" s="20">
        <v>6900</v>
      </c>
    </row>
    <row r="269" spans="1:16" s="10" customFormat="1" ht="15" customHeight="1" outlineLevel="4" x14ac:dyDescent="0.2">
      <c r="A269" s="27" t="s">
        <v>134</v>
      </c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1">
        <v>1000</v>
      </c>
      <c r="P269" s="20">
        <v>7300</v>
      </c>
    </row>
    <row r="270" spans="1:16" s="10" customFormat="1" ht="15" customHeight="1" outlineLevel="5" x14ac:dyDescent="0.2">
      <c r="A270" s="24" t="s">
        <v>25</v>
      </c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9">
        <v>75</v>
      </c>
      <c r="P270" s="20">
        <v>1047.75</v>
      </c>
    </row>
    <row r="271" spans="1:16" s="10" customFormat="1" ht="15" customHeight="1" x14ac:dyDescent="0.2">
      <c r="A271" s="22" t="s">
        <v>178</v>
      </c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33">
        <v>300</v>
      </c>
      <c r="P271" s="5">
        <v>2700</v>
      </c>
    </row>
    <row r="272" spans="1:16" s="10" customFormat="1" ht="15" customHeight="1" outlineLevel="4" x14ac:dyDescent="0.2">
      <c r="A272" s="27" t="s">
        <v>31</v>
      </c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9">
        <v>300</v>
      </c>
      <c r="P272" s="20">
        <v>2700</v>
      </c>
    </row>
    <row r="273" spans="1:16" s="10" customFormat="1" ht="15" customHeight="1" x14ac:dyDescent="0.2">
      <c r="A273" s="22" t="s">
        <v>179</v>
      </c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4">
        <v>1500</v>
      </c>
      <c r="P273" s="5">
        <v>10950</v>
      </c>
    </row>
    <row r="274" spans="1:16" s="10" customFormat="1" ht="15" customHeight="1" outlineLevel="5" x14ac:dyDescent="0.2">
      <c r="A274" s="24" t="s">
        <v>96</v>
      </c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1">
        <v>1500</v>
      </c>
      <c r="P274" s="20">
        <v>10950</v>
      </c>
    </row>
    <row r="275" spans="1:16" s="10" customFormat="1" ht="15" customHeight="1" x14ac:dyDescent="0.2">
      <c r="A275" s="22" t="s">
        <v>180</v>
      </c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4">
        <v>20500</v>
      </c>
      <c r="P275" s="5">
        <v>97030</v>
      </c>
    </row>
    <row r="276" spans="1:16" s="10" customFormat="1" ht="15" customHeight="1" outlineLevel="5" x14ac:dyDescent="0.2">
      <c r="A276" s="24" t="s">
        <v>181</v>
      </c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1">
        <v>7000</v>
      </c>
      <c r="P276" s="20">
        <v>39200</v>
      </c>
    </row>
    <row r="277" spans="1:16" s="10" customFormat="1" ht="15" customHeight="1" outlineLevel="5" x14ac:dyDescent="0.2">
      <c r="A277" s="24" t="s">
        <v>182</v>
      </c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1">
        <v>1000</v>
      </c>
      <c r="P277" s="20">
        <v>2920</v>
      </c>
    </row>
    <row r="278" spans="1:16" s="10" customFormat="1" ht="15" customHeight="1" outlineLevel="5" x14ac:dyDescent="0.2">
      <c r="A278" s="24" t="s">
        <v>108</v>
      </c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1">
        <v>10000</v>
      </c>
      <c r="P278" s="20">
        <v>32500</v>
      </c>
    </row>
    <row r="279" spans="1:16" s="10" customFormat="1" ht="15" customHeight="1" outlineLevel="4" x14ac:dyDescent="0.2">
      <c r="A279" s="27" t="s">
        <v>41</v>
      </c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1">
        <v>2000</v>
      </c>
      <c r="P279" s="20">
        <v>15600</v>
      </c>
    </row>
    <row r="280" spans="1:16" s="10" customFormat="1" ht="15" customHeight="1" outlineLevel="5" x14ac:dyDescent="0.2">
      <c r="A280" s="24" t="s">
        <v>25</v>
      </c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9">
        <v>500</v>
      </c>
      <c r="P280" s="20">
        <v>6810</v>
      </c>
    </row>
    <row r="281" spans="1:16" s="10" customFormat="1" ht="15" customHeight="1" outlineLevel="5" x14ac:dyDescent="0.2">
      <c r="A281" s="42" t="s">
        <v>225</v>
      </c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">
        <v>2000</v>
      </c>
      <c r="P281" s="43">
        <v>6580</v>
      </c>
    </row>
    <row r="282" spans="1:16" s="10" customFormat="1" ht="15" customHeight="1" outlineLevel="5" x14ac:dyDescent="0.2">
      <c r="A282" s="44" t="s">
        <v>226</v>
      </c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21">
        <v>2000</v>
      </c>
      <c r="P282" s="20">
        <v>6580</v>
      </c>
    </row>
    <row r="283" spans="1:16" s="10" customFormat="1" ht="15" customHeight="1" x14ac:dyDescent="0.2">
      <c r="A283" s="22" t="s">
        <v>183</v>
      </c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4">
        <v>2205</v>
      </c>
      <c r="P283" s="5">
        <v>7681.6</v>
      </c>
    </row>
    <row r="284" spans="1:16" s="10" customFormat="1" ht="15" outlineLevel="5" x14ac:dyDescent="0.2">
      <c r="A284" s="24" t="s">
        <v>184</v>
      </c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1">
        <v>2000</v>
      </c>
      <c r="P284" s="20">
        <v>5960</v>
      </c>
    </row>
    <row r="285" spans="1:16" s="10" customFormat="1" ht="15" customHeight="1" outlineLevel="4" x14ac:dyDescent="0.2">
      <c r="A285" s="27" t="s">
        <v>32</v>
      </c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9">
        <v>5</v>
      </c>
      <c r="P285" s="11">
        <v>939.6</v>
      </c>
    </row>
    <row r="286" spans="1:16" s="10" customFormat="1" ht="15" customHeight="1" outlineLevel="5" x14ac:dyDescent="0.2">
      <c r="A286" s="24" t="s">
        <v>12</v>
      </c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9">
        <v>200</v>
      </c>
      <c r="P286" s="11">
        <v>782</v>
      </c>
    </row>
    <row r="287" spans="1:16" s="10" customFormat="1" ht="15" customHeight="1" x14ac:dyDescent="0.2">
      <c r="A287" s="22" t="s">
        <v>185</v>
      </c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4">
        <v>17310</v>
      </c>
      <c r="P287" s="5">
        <v>222066.2</v>
      </c>
    </row>
    <row r="288" spans="1:16" s="10" customFormat="1" ht="15" customHeight="1" outlineLevel="5" x14ac:dyDescent="0.2">
      <c r="A288" s="24" t="s">
        <v>186</v>
      </c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1">
        <v>2000</v>
      </c>
      <c r="P288" s="20">
        <v>32660</v>
      </c>
    </row>
    <row r="289" spans="1:16" s="10" customFormat="1" ht="15" customHeight="1" outlineLevel="5" x14ac:dyDescent="0.2">
      <c r="A289" s="24" t="s">
        <v>187</v>
      </c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1">
        <v>6000</v>
      </c>
      <c r="P289" s="20">
        <v>82500</v>
      </c>
    </row>
    <row r="290" spans="1:16" s="10" customFormat="1" ht="15" customHeight="1" outlineLevel="5" x14ac:dyDescent="0.2">
      <c r="A290" s="24" t="s">
        <v>188</v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1">
        <v>5000</v>
      </c>
      <c r="P290" s="20">
        <v>68750</v>
      </c>
    </row>
    <row r="291" spans="1:16" s="10" customFormat="1" ht="15" customHeight="1" outlineLevel="5" x14ac:dyDescent="0.2">
      <c r="A291" s="24" t="s">
        <v>29</v>
      </c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1">
        <v>1025</v>
      </c>
      <c r="P291" s="20">
        <v>7482.5</v>
      </c>
    </row>
    <row r="292" spans="1:16" s="10" customFormat="1" ht="15" customHeight="1" outlineLevel="5" x14ac:dyDescent="0.2">
      <c r="A292" s="24" t="s">
        <v>96</v>
      </c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1">
        <v>1975</v>
      </c>
      <c r="P292" s="20">
        <v>14417.5</v>
      </c>
    </row>
    <row r="293" spans="1:16" s="10" customFormat="1" ht="15" customHeight="1" outlineLevel="4" x14ac:dyDescent="0.2">
      <c r="A293" s="27" t="s">
        <v>31</v>
      </c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9">
        <v>900</v>
      </c>
      <c r="P293" s="20">
        <v>8037</v>
      </c>
    </row>
    <row r="294" spans="1:16" s="10" customFormat="1" ht="15" customHeight="1" outlineLevel="4" x14ac:dyDescent="0.2">
      <c r="A294" s="27" t="s">
        <v>189</v>
      </c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9">
        <v>400</v>
      </c>
      <c r="P294" s="20">
        <v>6340</v>
      </c>
    </row>
    <row r="295" spans="1:16" s="10" customFormat="1" ht="15" customHeight="1" outlineLevel="4" x14ac:dyDescent="0.2">
      <c r="A295" s="27" t="s">
        <v>32</v>
      </c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9">
        <v>10</v>
      </c>
      <c r="P295" s="20">
        <v>1879.2</v>
      </c>
    </row>
    <row r="296" spans="1:16" s="10" customFormat="1" ht="15" customHeight="1" x14ac:dyDescent="0.2">
      <c r="A296" s="22" t="s">
        <v>190</v>
      </c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4">
        <v>7800</v>
      </c>
      <c r="P296" s="5">
        <v>56480</v>
      </c>
    </row>
    <row r="297" spans="1:16" s="10" customFormat="1" ht="15" customHeight="1" outlineLevel="5" x14ac:dyDescent="0.2">
      <c r="A297" s="24" t="s">
        <v>191</v>
      </c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9">
        <v>600</v>
      </c>
      <c r="P297" s="20">
        <v>2430</v>
      </c>
    </row>
    <row r="298" spans="1:16" s="10" customFormat="1" ht="15" customHeight="1" outlineLevel="5" x14ac:dyDescent="0.2">
      <c r="A298" s="24" t="s">
        <v>192</v>
      </c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1">
        <v>1000</v>
      </c>
      <c r="P298" s="20">
        <v>3420</v>
      </c>
    </row>
    <row r="299" spans="1:16" s="10" customFormat="1" ht="15" customHeight="1" outlineLevel="5" x14ac:dyDescent="0.2">
      <c r="A299" s="24" t="s">
        <v>193</v>
      </c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9">
        <v>200</v>
      </c>
      <c r="P299" s="20">
        <v>3830</v>
      </c>
    </row>
    <row r="300" spans="1:16" s="10" customFormat="1" ht="15" customHeight="1" outlineLevel="4" x14ac:dyDescent="0.2">
      <c r="A300" s="27" t="s">
        <v>41</v>
      </c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1">
        <v>6000</v>
      </c>
      <c r="P300" s="20">
        <v>46800</v>
      </c>
    </row>
    <row r="301" spans="1:16" s="10" customFormat="1" ht="15" customHeight="1" x14ac:dyDescent="0.2">
      <c r="A301" s="22" t="s">
        <v>194</v>
      </c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4">
        <v>8025</v>
      </c>
      <c r="P301" s="5">
        <v>173606</v>
      </c>
    </row>
    <row r="302" spans="1:16" s="10" customFormat="1" ht="15" customHeight="1" outlineLevel="5" x14ac:dyDescent="0.2">
      <c r="A302" s="24" t="s">
        <v>195</v>
      </c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1">
        <v>3000</v>
      </c>
      <c r="P302" s="20">
        <v>101100</v>
      </c>
    </row>
    <row r="303" spans="1:16" s="10" customFormat="1" ht="15" customHeight="1" outlineLevel="4" x14ac:dyDescent="0.2">
      <c r="A303" s="27" t="s">
        <v>32</v>
      </c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9">
        <v>25</v>
      </c>
      <c r="P303" s="20">
        <v>4156</v>
      </c>
    </row>
    <row r="304" spans="1:16" s="10" customFormat="1" ht="15" customHeight="1" outlineLevel="5" x14ac:dyDescent="0.2">
      <c r="A304" s="24" t="s">
        <v>25</v>
      </c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1">
        <v>5000</v>
      </c>
      <c r="P304" s="20">
        <v>68350</v>
      </c>
    </row>
    <row r="305" spans="1:16" s="10" customFormat="1" ht="15" customHeight="1" x14ac:dyDescent="0.2">
      <c r="A305" s="22" t="s">
        <v>196</v>
      </c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4">
        <v>29300</v>
      </c>
      <c r="P305" s="5">
        <v>81731</v>
      </c>
    </row>
    <row r="306" spans="1:16" s="10" customFormat="1" ht="15" customHeight="1" outlineLevel="5" x14ac:dyDescent="0.2">
      <c r="A306" s="24" t="s">
        <v>197</v>
      </c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1">
        <v>1300</v>
      </c>
      <c r="P306" s="20">
        <v>8671</v>
      </c>
    </row>
    <row r="307" spans="1:16" s="10" customFormat="1" ht="15" customHeight="1" outlineLevel="5" x14ac:dyDescent="0.2">
      <c r="A307" s="24" t="s">
        <v>198</v>
      </c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1">
        <v>3000</v>
      </c>
      <c r="P307" s="20">
        <v>7860</v>
      </c>
    </row>
    <row r="308" spans="1:16" s="10" customFormat="1" ht="15" customHeight="1" outlineLevel="5" x14ac:dyDescent="0.2">
      <c r="A308" s="24" t="s">
        <v>199</v>
      </c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1">
        <v>1500</v>
      </c>
      <c r="P308" s="20">
        <v>3495</v>
      </c>
    </row>
    <row r="309" spans="1:16" s="2" customFormat="1" ht="15" customHeight="1" outlineLevel="5" x14ac:dyDescent="0.2">
      <c r="A309" s="24" t="s">
        <v>83</v>
      </c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1">
        <v>9000</v>
      </c>
      <c r="P309" s="20">
        <v>24840</v>
      </c>
    </row>
    <row r="310" spans="1:16" s="10" customFormat="1" ht="15" customHeight="1" outlineLevel="5" x14ac:dyDescent="0.2">
      <c r="A310" s="24" t="s">
        <v>10</v>
      </c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1">
        <v>13000</v>
      </c>
      <c r="P310" s="20">
        <v>27820</v>
      </c>
    </row>
    <row r="311" spans="1:16" s="10" customFormat="1" ht="15" customHeight="1" outlineLevel="5" x14ac:dyDescent="0.2">
      <c r="A311" s="24" t="s">
        <v>54</v>
      </c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1">
        <v>1000</v>
      </c>
      <c r="P311" s="20">
        <v>2140</v>
      </c>
    </row>
    <row r="312" spans="1:16" s="10" customFormat="1" ht="15" customHeight="1" outlineLevel="5" x14ac:dyDescent="0.2">
      <c r="A312" s="24" t="s">
        <v>25</v>
      </c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9">
        <v>500</v>
      </c>
      <c r="P312" s="20">
        <v>6905</v>
      </c>
    </row>
    <row r="313" spans="1:16" ht="15" customHeight="1" x14ac:dyDescent="0.2">
      <c r="A313" s="22" t="s">
        <v>200</v>
      </c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4">
        <v>7500</v>
      </c>
      <c r="P313" s="5">
        <v>44360</v>
      </c>
    </row>
    <row r="314" spans="1:16" s="10" customFormat="1" ht="15" customHeight="1" outlineLevel="5" x14ac:dyDescent="0.2">
      <c r="A314" s="24" t="s">
        <v>201</v>
      </c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1">
        <v>5000</v>
      </c>
      <c r="P314" s="20">
        <v>16300</v>
      </c>
    </row>
    <row r="315" spans="1:16" s="10" customFormat="1" ht="15" customHeight="1" outlineLevel="5" x14ac:dyDescent="0.2">
      <c r="A315" s="24" t="s">
        <v>202</v>
      </c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1">
        <v>1500</v>
      </c>
      <c r="P315" s="20">
        <v>14250</v>
      </c>
    </row>
    <row r="316" spans="1:16" s="10" customFormat="1" ht="15" customHeight="1" outlineLevel="5" x14ac:dyDescent="0.2">
      <c r="A316" s="24" t="s">
        <v>25</v>
      </c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1">
        <v>1000</v>
      </c>
      <c r="P316" s="20">
        <v>13810</v>
      </c>
    </row>
    <row r="317" spans="1:16" s="10" customFormat="1" ht="15" customHeight="1" x14ac:dyDescent="0.2">
      <c r="A317" s="22" t="s">
        <v>203</v>
      </c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33">
        <v>450</v>
      </c>
      <c r="P317" s="5">
        <v>2777.5</v>
      </c>
    </row>
    <row r="318" spans="1:16" s="10" customFormat="1" ht="15" customHeight="1" outlineLevel="4" x14ac:dyDescent="0.2">
      <c r="A318" s="27" t="s">
        <v>31</v>
      </c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9">
        <v>200</v>
      </c>
      <c r="P318" s="20">
        <v>1800</v>
      </c>
    </row>
    <row r="319" spans="1:16" s="10" customFormat="1" ht="15" customHeight="1" outlineLevel="5" x14ac:dyDescent="0.2">
      <c r="A319" s="24" t="s">
        <v>12</v>
      </c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9">
        <v>250</v>
      </c>
      <c r="P319" s="11">
        <v>977.5</v>
      </c>
    </row>
    <row r="320" spans="1:16" s="10" customFormat="1" ht="15" customHeight="1" x14ac:dyDescent="0.2">
      <c r="A320" s="22" t="s">
        <v>204</v>
      </c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4">
        <v>5000</v>
      </c>
      <c r="P320" s="5">
        <v>10580</v>
      </c>
    </row>
    <row r="321" spans="1:16" s="10" customFormat="1" ht="30.75" customHeight="1" outlineLevel="6" x14ac:dyDescent="0.2">
      <c r="A321" s="28" t="s">
        <v>37</v>
      </c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1">
        <v>3000</v>
      </c>
      <c r="P321" s="20">
        <v>4740</v>
      </c>
    </row>
    <row r="322" spans="1:16" s="10" customFormat="1" ht="15" customHeight="1" outlineLevel="5" x14ac:dyDescent="0.2">
      <c r="A322" s="24" t="s">
        <v>103</v>
      </c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1">
        <v>2000</v>
      </c>
      <c r="P322" s="20">
        <v>5840</v>
      </c>
    </row>
    <row r="323" spans="1:16" ht="15" customHeight="1" x14ac:dyDescent="0.2">
      <c r="A323" s="22" t="s">
        <v>205</v>
      </c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4">
        <v>5000</v>
      </c>
      <c r="P323" s="5">
        <v>7900</v>
      </c>
    </row>
    <row r="324" spans="1:16" s="10" customFormat="1" ht="30" customHeight="1" outlineLevel="6" x14ac:dyDescent="0.2">
      <c r="A324" s="28" t="s">
        <v>37</v>
      </c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1">
        <v>5000</v>
      </c>
      <c r="P324" s="20">
        <v>7900</v>
      </c>
    </row>
    <row r="325" spans="1:16" s="10" customFormat="1" ht="15" customHeight="1" x14ac:dyDescent="0.2">
      <c r="A325" s="22" t="s">
        <v>206</v>
      </c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4">
        <v>1250</v>
      </c>
      <c r="P325" s="5">
        <v>11459.5</v>
      </c>
    </row>
    <row r="326" spans="1:16" s="10" customFormat="1" ht="15" customHeight="1" outlineLevel="5" x14ac:dyDescent="0.2">
      <c r="A326" s="24" t="s">
        <v>96</v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9">
        <v>650</v>
      </c>
      <c r="P326" s="20">
        <v>4517.5</v>
      </c>
    </row>
    <row r="327" spans="1:16" s="10" customFormat="1" ht="15" customHeight="1" outlineLevel="5" x14ac:dyDescent="0.2">
      <c r="A327" s="24" t="s">
        <v>207</v>
      </c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9">
        <v>600</v>
      </c>
      <c r="P327" s="20">
        <v>6942</v>
      </c>
    </row>
    <row r="328" spans="1:16" s="10" customFormat="1" ht="15" customHeight="1" x14ac:dyDescent="0.2">
      <c r="A328" s="22" t="s">
        <v>208</v>
      </c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4">
        <v>36700</v>
      </c>
      <c r="P328" s="5">
        <v>120274</v>
      </c>
    </row>
    <row r="329" spans="1:16" s="10" customFormat="1" ht="15" customHeight="1" outlineLevel="5" x14ac:dyDescent="0.2">
      <c r="A329" s="24" t="s">
        <v>209</v>
      </c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1">
        <v>5000</v>
      </c>
      <c r="P329" s="20">
        <v>24900</v>
      </c>
    </row>
    <row r="330" spans="1:16" s="10" customFormat="1" ht="15" customHeight="1" outlineLevel="5" x14ac:dyDescent="0.2">
      <c r="A330" s="24" t="s">
        <v>133</v>
      </c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1">
        <v>17375</v>
      </c>
      <c r="P330" s="20">
        <v>45175</v>
      </c>
    </row>
    <row r="331" spans="1:16" s="10" customFormat="1" ht="15" customHeight="1" outlineLevel="5" x14ac:dyDescent="0.2">
      <c r="A331" s="24" t="s">
        <v>106</v>
      </c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1">
        <v>12625</v>
      </c>
      <c r="P331" s="20">
        <v>32825</v>
      </c>
    </row>
    <row r="332" spans="1:16" s="10" customFormat="1" ht="15" customHeight="1" outlineLevel="5" x14ac:dyDescent="0.2">
      <c r="A332" s="24" t="s">
        <v>210</v>
      </c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1">
        <v>1500</v>
      </c>
      <c r="P332" s="20">
        <v>14580</v>
      </c>
    </row>
    <row r="333" spans="1:16" s="10" customFormat="1" ht="15" customHeight="1" outlineLevel="5" x14ac:dyDescent="0.2">
      <c r="A333" s="24" t="s">
        <v>25</v>
      </c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9">
        <v>200</v>
      </c>
      <c r="P333" s="20">
        <v>2794</v>
      </c>
    </row>
  </sheetData>
  <mergeCells count="335">
    <mergeCell ref="A154:N154"/>
    <mergeCell ref="A175:N175"/>
    <mergeCell ref="A176:N176"/>
    <mergeCell ref="A333:N333"/>
    <mergeCell ref="A331:N331"/>
    <mergeCell ref="A332:N332"/>
    <mergeCell ref="A328:N328"/>
    <mergeCell ref="A329:N329"/>
    <mergeCell ref="A330:N330"/>
    <mergeCell ref="A325:N325"/>
    <mergeCell ref="A326:N326"/>
    <mergeCell ref="A327:N327"/>
    <mergeCell ref="A322:N322"/>
    <mergeCell ref="A323:N323"/>
    <mergeCell ref="A324:N324"/>
    <mergeCell ref="A319:N319"/>
    <mergeCell ref="A320:N320"/>
    <mergeCell ref="A321:N321"/>
    <mergeCell ref="A316:N316"/>
    <mergeCell ref="A317:N317"/>
    <mergeCell ref="A318:N318"/>
    <mergeCell ref="A312:N312"/>
    <mergeCell ref="A313:N313"/>
    <mergeCell ref="A314:N314"/>
    <mergeCell ref="A315:N315"/>
    <mergeCell ref="A310:N310"/>
    <mergeCell ref="A311:N311"/>
    <mergeCell ref="A308:N308"/>
    <mergeCell ref="A309:N309"/>
    <mergeCell ref="A306:N306"/>
    <mergeCell ref="A307:N307"/>
    <mergeCell ref="A303:N303"/>
    <mergeCell ref="A304:N304"/>
    <mergeCell ref="A305:N305"/>
    <mergeCell ref="A300:N300"/>
    <mergeCell ref="A301:N301"/>
    <mergeCell ref="A302:N302"/>
    <mergeCell ref="A297:N297"/>
    <mergeCell ref="A298:N298"/>
    <mergeCell ref="A299:N299"/>
    <mergeCell ref="A293:N293"/>
    <mergeCell ref="A294:N294"/>
    <mergeCell ref="A295:N295"/>
    <mergeCell ref="A296:N296"/>
    <mergeCell ref="A290:N290"/>
    <mergeCell ref="A291:N291"/>
    <mergeCell ref="A292:N292"/>
    <mergeCell ref="A286:N286"/>
    <mergeCell ref="A287:N287"/>
    <mergeCell ref="A288:N288"/>
    <mergeCell ref="A289:N289"/>
    <mergeCell ref="A283:N283"/>
    <mergeCell ref="A284:N284"/>
    <mergeCell ref="A285:N285"/>
    <mergeCell ref="A278:N278"/>
    <mergeCell ref="A279:N279"/>
    <mergeCell ref="A280:N280"/>
    <mergeCell ref="A275:N275"/>
    <mergeCell ref="A276:N276"/>
    <mergeCell ref="A277:N277"/>
    <mergeCell ref="A281:N281"/>
    <mergeCell ref="A282:N282"/>
    <mergeCell ref="A272:N272"/>
    <mergeCell ref="A273:N273"/>
    <mergeCell ref="A274:N274"/>
    <mergeCell ref="A260:N260"/>
    <mergeCell ref="A261:N261"/>
    <mergeCell ref="A256:N256"/>
    <mergeCell ref="A257:N257"/>
    <mergeCell ref="A258:N258"/>
    <mergeCell ref="A259:N259"/>
    <mergeCell ref="A271:N271"/>
    <mergeCell ref="A252:N252"/>
    <mergeCell ref="A253:N253"/>
    <mergeCell ref="A254:N254"/>
    <mergeCell ref="A255:N255"/>
    <mergeCell ref="A268:N268"/>
    <mergeCell ref="A269:N269"/>
    <mergeCell ref="A270:N270"/>
    <mergeCell ref="A264:N264"/>
    <mergeCell ref="A265:N265"/>
    <mergeCell ref="A266:N266"/>
    <mergeCell ref="A267:N267"/>
    <mergeCell ref="A262:N262"/>
    <mergeCell ref="A263:N263"/>
    <mergeCell ref="A249:N249"/>
    <mergeCell ref="A250:N250"/>
    <mergeCell ref="A251:N251"/>
    <mergeCell ref="A246:N246"/>
    <mergeCell ref="A247:N247"/>
    <mergeCell ref="A248:N248"/>
    <mergeCell ref="A241:N241"/>
    <mergeCell ref="A242:N242"/>
    <mergeCell ref="A243:N243"/>
    <mergeCell ref="A244:N244"/>
    <mergeCell ref="A245:N245"/>
    <mergeCell ref="A237:N237"/>
    <mergeCell ref="A238:N238"/>
    <mergeCell ref="A239:N239"/>
    <mergeCell ref="A240:N240"/>
    <mergeCell ref="A233:N233"/>
    <mergeCell ref="A234:N234"/>
    <mergeCell ref="A235:N235"/>
    <mergeCell ref="A236:N236"/>
    <mergeCell ref="A229:N229"/>
    <mergeCell ref="A230:N230"/>
    <mergeCell ref="A232:N232"/>
    <mergeCell ref="A225:N225"/>
    <mergeCell ref="A226:N226"/>
    <mergeCell ref="A227:N227"/>
    <mergeCell ref="A228:N228"/>
    <mergeCell ref="A231:N231"/>
    <mergeCell ref="A222:N222"/>
    <mergeCell ref="A223:N223"/>
    <mergeCell ref="A224:N224"/>
    <mergeCell ref="A218:N218"/>
    <mergeCell ref="A219:N219"/>
    <mergeCell ref="A220:N220"/>
    <mergeCell ref="A221:N221"/>
    <mergeCell ref="A215:N215"/>
    <mergeCell ref="A216:N216"/>
    <mergeCell ref="A217:N217"/>
    <mergeCell ref="A211:N211"/>
    <mergeCell ref="A212:N212"/>
    <mergeCell ref="A213:N213"/>
    <mergeCell ref="A214:N214"/>
    <mergeCell ref="A207:N207"/>
    <mergeCell ref="A208:N208"/>
    <mergeCell ref="A209:N209"/>
    <mergeCell ref="A210:N210"/>
    <mergeCell ref="A204:N204"/>
    <mergeCell ref="A205:N205"/>
    <mergeCell ref="A206:N206"/>
    <mergeCell ref="A200:N200"/>
    <mergeCell ref="A201:N201"/>
    <mergeCell ref="A202:N202"/>
    <mergeCell ref="A203:N203"/>
    <mergeCell ref="A193:N193"/>
    <mergeCell ref="A194:N194"/>
    <mergeCell ref="A195:N195"/>
    <mergeCell ref="A196:N196"/>
    <mergeCell ref="A197:N197"/>
    <mergeCell ref="A198:N198"/>
    <mergeCell ref="A199:N199"/>
    <mergeCell ref="A184:N184"/>
    <mergeCell ref="A185:N185"/>
    <mergeCell ref="A186:N186"/>
    <mergeCell ref="A192:N192"/>
    <mergeCell ref="A187:N187"/>
    <mergeCell ref="A189:N189"/>
    <mergeCell ref="A190:N190"/>
    <mergeCell ref="A191:N191"/>
    <mergeCell ref="A188:N188"/>
    <mergeCell ref="A183:N183"/>
    <mergeCell ref="A172:N172"/>
    <mergeCell ref="A173:N173"/>
    <mergeCell ref="A174:N174"/>
    <mergeCell ref="A177:N177"/>
    <mergeCell ref="A178:N178"/>
    <mergeCell ref="A179:N179"/>
    <mergeCell ref="A180:N180"/>
    <mergeCell ref="A181:N181"/>
    <mergeCell ref="A182:N182"/>
    <mergeCell ref="A147:N147"/>
    <mergeCell ref="A148:N148"/>
    <mergeCell ref="A149:N149"/>
    <mergeCell ref="A150:N150"/>
    <mergeCell ref="A170:N170"/>
    <mergeCell ref="A171:N171"/>
    <mergeCell ref="A162:N162"/>
    <mergeCell ref="A163:N163"/>
    <mergeCell ref="A164:N164"/>
    <mergeCell ref="A165:N165"/>
    <mergeCell ref="A155:N155"/>
    <mergeCell ref="A156:N156"/>
    <mergeCell ref="A157:N157"/>
    <mergeCell ref="A158:N158"/>
    <mergeCell ref="A159:N159"/>
    <mergeCell ref="A160:N160"/>
    <mergeCell ref="A161:N161"/>
    <mergeCell ref="A167:N167"/>
    <mergeCell ref="A168:N168"/>
    <mergeCell ref="A169:N169"/>
    <mergeCell ref="A166:N166"/>
    <mergeCell ref="A151:N151"/>
    <mergeCell ref="A152:N152"/>
    <mergeCell ref="A153:N153"/>
    <mergeCell ref="A137:N137"/>
    <mergeCell ref="A138:N138"/>
    <mergeCell ref="A139:N139"/>
    <mergeCell ref="A140:N140"/>
    <mergeCell ref="A141:N141"/>
    <mergeCell ref="A135:N135"/>
    <mergeCell ref="A136:N136"/>
    <mergeCell ref="A134:N134"/>
    <mergeCell ref="A146:N146"/>
    <mergeCell ref="A142:N142"/>
    <mergeCell ref="A143:N143"/>
    <mergeCell ref="A144:N144"/>
    <mergeCell ref="A145:N145"/>
    <mergeCell ref="A132:N132"/>
    <mergeCell ref="A133:N133"/>
    <mergeCell ref="A120:N120"/>
    <mergeCell ref="A121:N121"/>
    <mergeCell ref="A122:N122"/>
    <mergeCell ref="A116:N116"/>
    <mergeCell ref="A117:N117"/>
    <mergeCell ref="A118:N118"/>
    <mergeCell ref="A119:N119"/>
    <mergeCell ref="A127:N127"/>
    <mergeCell ref="A128:N128"/>
    <mergeCell ref="A129:N129"/>
    <mergeCell ref="A126:N126"/>
    <mergeCell ref="A123:N123"/>
    <mergeCell ref="A124:N124"/>
    <mergeCell ref="A125:N125"/>
    <mergeCell ref="A130:N130"/>
    <mergeCell ref="A131:N131"/>
    <mergeCell ref="A114:N114"/>
    <mergeCell ref="A115:N115"/>
    <mergeCell ref="A110:N110"/>
    <mergeCell ref="A111:N111"/>
    <mergeCell ref="A112:N112"/>
    <mergeCell ref="A113:N113"/>
    <mergeCell ref="A105:N105"/>
    <mergeCell ref="A106:N106"/>
    <mergeCell ref="A107:N107"/>
    <mergeCell ref="A108:N108"/>
    <mergeCell ref="A109:N109"/>
    <mergeCell ref="A101:N101"/>
    <mergeCell ref="A102:N102"/>
    <mergeCell ref="A103:N103"/>
    <mergeCell ref="A104:N104"/>
    <mergeCell ref="A98:N98"/>
    <mergeCell ref="A99:N99"/>
    <mergeCell ref="A100:N100"/>
    <mergeCell ref="A96:N96"/>
    <mergeCell ref="A97:N97"/>
    <mergeCell ref="A93:N93"/>
    <mergeCell ref="A94:N94"/>
    <mergeCell ref="A95:N95"/>
    <mergeCell ref="A89:N89"/>
    <mergeCell ref="A90:N90"/>
    <mergeCell ref="A91:N91"/>
    <mergeCell ref="A92:N92"/>
    <mergeCell ref="A86:N86"/>
    <mergeCell ref="A87:N87"/>
    <mergeCell ref="A88:N88"/>
    <mergeCell ref="A59:N59"/>
    <mergeCell ref="A60:N60"/>
    <mergeCell ref="A61:N61"/>
    <mergeCell ref="A62:N62"/>
    <mergeCell ref="A82:N82"/>
    <mergeCell ref="A83:N83"/>
    <mergeCell ref="A84:N84"/>
    <mergeCell ref="A85:N85"/>
    <mergeCell ref="A78:N78"/>
    <mergeCell ref="A79:N79"/>
    <mergeCell ref="A80:N80"/>
    <mergeCell ref="A81:N81"/>
    <mergeCell ref="A75:N75"/>
    <mergeCell ref="A76:N76"/>
    <mergeCell ref="A77:N77"/>
    <mergeCell ref="A27:N27"/>
    <mergeCell ref="A28:N28"/>
    <mergeCell ref="A24:N24"/>
    <mergeCell ref="A25:N25"/>
    <mergeCell ref="A26:N26"/>
    <mergeCell ref="A23:N23"/>
    <mergeCell ref="A63:N63"/>
    <mergeCell ref="A44:N44"/>
    <mergeCell ref="A45:N45"/>
    <mergeCell ref="A42:N42"/>
    <mergeCell ref="A43:N43"/>
    <mergeCell ref="A41:N41"/>
    <mergeCell ref="A46:N46"/>
    <mergeCell ref="A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6:N56"/>
    <mergeCell ref="A33:N33"/>
    <mergeCell ref="A34:N34"/>
    <mergeCell ref="A29:N29"/>
    <mergeCell ref="A30:N30"/>
    <mergeCell ref="A31:N31"/>
    <mergeCell ref="A32:N32"/>
    <mergeCell ref="A71:N71"/>
    <mergeCell ref="A72:N72"/>
    <mergeCell ref="A73:N73"/>
    <mergeCell ref="A74:N74"/>
    <mergeCell ref="A39:N39"/>
    <mergeCell ref="A40:N40"/>
    <mergeCell ref="A35:N35"/>
    <mergeCell ref="A36:N36"/>
    <mergeCell ref="A37:N37"/>
    <mergeCell ref="A38:N38"/>
    <mergeCell ref="A68:N68"/>
    <mergeCell ref="A69:N69"/>
    <mergeCell ref="A70:N70"/>
    <mergeCell ref="A64:N64"/>
    <mergeCell ref="A65:N65"/>
    <mergeCell ref="A66:N66"/>
    <mergeCell ref="A67:N67"/>
    <mergeCell ref="A57:N57"/>
    <mergeCell ref="A58:N58"/>
    <mergeCell ref="P2:P4"/>
    <mergeCell ref="A3:N3"/>
    <mergeCell ref="A4:N4"/>
    <mergeCell ref="A5:N5"/>
    <mergeCell ref="A6:N6"/>
    <mergeCell ref="A7:N7"/>
    <mergeCell ref="A20:N20"/>
    <mergeCell ref="A21:N21"/>
    <mergeCell ref="A22:N22"/>
    <mergeCell ref="A17:N17"/>
    <mergeCell ref="A18:N18"/>
    <mergeCell ref="A19:N19"/>
    <mergeCell ref="A11:N11"/>
    <mergeCell ref="A12:N12"/>
    <mergeCell ref="A2:N2"/>
    <mergeCell ref="O2:O4"/>
    <mergeCell ref="A13:N13"/>
    <mergeCell ref="A14:N14"/>
    <mergeCell ref="A8:N8"/>
    <mergeCell ref="A9:N9"/>
    <mergeCell ref="A10:N10"/>
    <mergeCell ref="A15:N16"/>
    <mergeCell ref="O15:O16"/>
    <mergeCell ref="P15:P16"/>
  </mergeCells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2025-11-25T07:18:24Z</dcterms:modified>
</cp:coreProperties>
</file>