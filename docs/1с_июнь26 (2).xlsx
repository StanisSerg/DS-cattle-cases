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xr:revisionPtr revIDLastSave="0" documentId="11_E3B3BEE8B78C4023E7F0C67CDD32314C0E1D62DD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1" l="1"/>
  <c r="P4" i="1"/>
  <c r="P102" i="1"/>
  <c r="S27" i="1"/>
  <c r="O102" i="1"/>
  <c r="S32" i="1"/>
  <c r="S13" i="1" l="1"/>
  <c r="S8" i="1"/>
  <c r="S29" i="1"/>
  <c r="S12" i="1"/>
  <c r="S6" i="1"/>
  <c r="P137" i="1"/>
  <c r="S5" i="1" l="1"/>
  <c r="S17" i="1" l="1"/>
  <c r="O137" i="1" l="1"/>
  <c r="S26" i="1" l="1"/>
  <c r="S25" i="1"/>
  <c r="S23" i="1"/>
  <c r="S22" i="1"/>
  <c r="S19" i="1" l="1"/>
  <c r="S18" i="1"/>
  <c r="S16" i="1"/>
  <c r="S15" i="1"/>
  <c r="S14" i="1" l="1"/>
  <c r="S30" i="1"/>
  <c r="S28" i="1" l="1"/>
</calcChain>
</file>

<file path=xl/sharedStrings.xml><?xml version="1.0" encoding="utf-8"?>
<sst xmlns="http://schemas.openxmlformats.org/spreadsheetml/2006/main" count="418" uniqueCount="308">
  <si>
    <t>Контрагент</t>
  </si>
  <si>
    <t>Количество</t>
  </si>
  <si>
    <t>Сумма реализации</t>
  </si>
  <si>
    <t>Группа</t>
  </si>
  <si>
    <t>Итого</t>
  </si>
  <si>
    <t>Авангард СДП</t>
  </si>
  <si>
    <t>Дрогичин</t>
  </si>
  <si>
    <t>ККК-603р       ДРГ 61-150-0321 /05/1206</t>
  </si>
  <si>
    <t>ККК</t>
  </si>
  <si>
    <t>Агро-Колядичи ОАО</t>
  </si>
  <si>
    <t>Премиксы</t>
  </si>
  <si>
    <t>Асид Баф</t>
  </si>
  <si>
    <t>Оптифид 10%</t>
  </si>
  <si>
    <t>Агро-Оберег ОАО</t>
  </si>
  <si>
    <t>Оптифид 8%</t>
  </si>
  <si>
    <t>ККК-603р       ДРГ 63-030-1849 /04/0506</t>
  </si>
  <si>
    <t>Оптифид 5%</t>
  </si>
  <si>
    <t>ККК-603р       ДРГ 63-070-028 /05/0506</t>
  </si>
  <si>
    <t>Оптифид интенсив откорм</t>
  </si>
  <si>
    <t>ККК-604р       ДРГ 02-030-046 /03/0506</t>
  </si>
  <si>
    <t>Аминолак</t>
  </si>
  <si>
    <t>Агро-Фуд РТФ ООО</t>
  </si>
  <si>
    <t xml:space="preserve">Здоровая печень </t>
  </si>
  <si>
    <t>Премикс Д-П60-3 для высокопродуктивных коров       ДРГ 63-020-204 /02/0606</t>
  </si>
  <si>
    <t>Оптима 100</t>
  </si>
  <si>
    <t>Премикс Д-ПКР-2 для молодняка КРС старше 3-х месяцев       ДРГ 02-010-038 /04/0606</t>
  </si>
  <si>
    <t>Премикс Д-ПКР-2 для молодняка КРС старше 3-х месяцев       ДРГ 02-050-0244 /03/0606</t>
  </si>
  <si>
    <t>НутриКАБ</t>
  </si>
  <si>
    <t>Александрийское ОАО</t>
  </si>
  <si>
    <t>Клостат НС SP сухой</t>
  </si>
  <si>
    <t xml:space="preserve">                           Клостат НС SP сухой</t>
  </si>
  <si>
    <t>Актисаф SC 47 STD</t>
  </si>
  <si>
    <t>Алникорпродукт Вертелишки ЧПУП</t>
  </si>
  <si>
    <t>Алкерфид Антитокс</t>
  </si>
  <si>
    <t>Сафволл</t>
  </si>
  <si>
    <t>Бездеж-Агро ОАО</t>
  </si>
  <si>
    <t>СафМаннан</t>
  </si>
  <si>
    <t>ККК-603р       ДРГ 63-010-8158 /02/1606</t>
  </si>
  <si>
    <t>ХолиДЖЕМ</t>
  </si>
  <si>
    <t>КемТРЕЙС пропионат хрома 0,4% сухой</t>
  </si>
  <si>
    <t>ЛизиКапс</t>
  </si>
  <si>
    <t>БелИнтерГен-агро ООО</t>
  </si>
  <si>
    <t>Лизиджем сухой</t>
  </si>
  <si>
    <t xml:space="preserve">                            Комбикорм-концентрат для телят в возрасте до 3 месяцев стартерный " Кальвостарт"       01100088-002 /01/3005</t>
  </si>
  <si>
    <t>КемТРЕЙС</t>
  </si>
  <si>
    <t>ККК-603р       63010911-002 /04/1706</t>
  </si>
  <si>
    <t>Токсфин сухой</t>
  </si>
  <si>
    <t>Беловежский  ОАО</t>
  </si>
  <si>
    <t>Токсфин Кеа</t>
  </si>
  <si>
    <t xml:space="preserve">                            Алкерфид Антитокс</t>
  </si>
  <si>
    <t>Консулагро</t>
  </si>
  <si>
    <t xml:space="preserve"> НутриКАБ</t>
  </si>
  <si>
    <t>605г</t>
  </si>
  <si>
    <t>Белпромприбор ЗАО</t>
  </si>
  <si>
    <t>Кальвостарт</t>
  </si>
  <si>
    <t>ККК-603р       ДРГ 63-030-1646 /06/1206</t>
  </si>
  <si>
    <t>Мумиксы</t>
  </si>
  <si>
    <t>ККК-604р       ДРГ 02-030-044 /07/1206</t>
  </si>
  <si>
    <t xml:space="preserve">     Оптима 100</t>
  </si>
  <si>
    <t>Березовский ККЗ ОАО</t>
  </si>
  <si>
    <t>ККК-605р       ДРГ 01-025-0162 /06/0306</t>
  </si>
  <si>
    <t>БНБК ЗАО</t>
  </si>
  <si>
    <t xml:space="preserve">     Актисаф SC 47 STD</t>
  </si>
  <si>
    <t>Валище ОАО</t>
  </si>
  <si>
    <t xml:space="preserve">      Алкерфид Антитокс</t>
  </si>
  <si>
    <t>Воронецкий КСУП (СПК им.Воронецкого)</t>
  </si>
  <si>
    <t>Концентрат кормовой балансирующий "Оптифид баланс"       ДРГ 61-100-1512 /03/0906</t>
  </si>
  <si>
    <t>Концентрат кормовой энергетический "Аминолак"       ДРГ 61-100-0701 /06/2906</t>
  </si>
  <si>
    <t>Восходящая заря СПК</t>
  </si>
  <si>
    <t>Гарантагровест ООО</t>
  </si>
  <si>
    <t>ККК-603р       ДРГ 63-020-1748 /03/0406</t>
  </si>
  <si>
    <t>ККК-603р       ДРГ 63-020-1748 /04/2406</t>
  </si>
  <si>
    <t>ККК-605р       ДРГ 01-050-027 /04/0406</t>
  </si>
  <si>
    <t>ККК-605р       ДРГ 01-050-0271 /02/2606</t>
  </si>
  <si>
    <t>Концентрат кормовой балансирующий "Оптифид баланс"       ДРГ 61-050-107 /05/0406</t>
  </si>
  <si>
    <t>Концентрат кормовой балансирующий "Оптифид баланс"       ДРГ 61-050-107 /05/2406</t>
  </si>
  <si>
    <t>Концентрат кормовой балансирующий "Оптифид интенсив откорм"    02-050-0405</t>
  </si>
  <si>
    <t>Гольшаны КСУП</t>
  </si>
  <si>
    <t>ККК-603р       ДРГ 61-100-0812 /04/2006</t>
  </si>
  <si>
    <t>ККК-603р       ДРГ 61-150-0274 /07/2006</t>
  </si>
  <si>
    <t>ККК-603р       ДРГ 63-010-81510 /06/2006</t>
  </si>
  <si>
    <t>ККК-604р       ДРГ 02-010-0514 /05/2006</t>
  </si>
  <si>
    <t>ККК-605г       01500137-003 /02/2205</t>
  </si>
  <si>
    <t>Горбаха ОАО</t>
  </si>
  <si>
    <t xml:space="preserve">     Алкерфид Антитокс</t>
  </si>
  <si>
    <t xml:space="preserve">     Клостат НС SP сухой</t>
  </si>
  <si>
    <t>Городилово ОАО</t>
  </si>
  <si>
    <t>ККК-603р       ДРГ 61-150-033 /01/0506</t>
  </si>
  <si>
    <t>ККК-603р       ДРГ 61-150-033 /08/2006</t>
  </si>
  <si>
    <t>ГрузТехСнаб ООО</t>
  </si>
  <si>
    <t>Грушево-МИЛК Сельскохозяйственное унитарное предприятие</t>
  </si>
  <si>
    <t xml:space="preserve">                          Комбикорм-концентрат для телят в возрасте до 3 месяцев стартерный " Кальвостарт"       01100088-002 /10/1905</t>
  </si>
  <si>
    <t>Гудевичи ЗАО</t>
  </si>
  <si>
    <t>ККК-603р       ДРГ 63-020-1777 /06/2005</t>
  </si>
  <si>
    <t>ККК-603р       ДРГ 63-020-1778 /03/1606</t>
  </si>
  <si>
    <t>ККК-604р       ДРГ 02-010-0525 /06/1106</t>
  </si>
  <si>
    <t>Диталан ОДО</t>
  </si>
  <si>
    <t xml:space="preserve">                           СафМаннан</t>
  </si>
  <si>
    <t>Дружба народов ОАО</t>
  </si>
  <si>
    <t>Дубравушка-Агро ОАО</t>
  </si>
  <si>
    <t>ККК-603р       ДРГ 63-160-0174 /04/0906</t>
  </si>
  <si>
    <t>Западный СГЦ ОАО</t>
  </si>
  <si>
    <t xml:space="preserve">                          Комбикорм-концентрат для телят в возрасте до 3 месяцев стартерный " Кальвостарт"       01100082-001 /09/0506</t>
  </si>
  <si>
    <t xml:space="preserve">                          Комбикорм-концентрат для телят в возрасте до 3 месяцев стартерный "Кальвостарт"       01100082-001 /01/2806</t>
  </si>
  <si>
    <t>ЗубрАгро ТОО</t>
  </si>
  <si>
    <t xml:space="preserve">                         Комбикорм-концентрат для телят в возрасте до 3 месяцев стартерный "Кальвостарт"       01100089-001 /08/1806</t>
  </si>
  <si>
    <t xml:space="preserve">                         Комбикорм-концентрат для телят в возрасте до 3 месяцев стартерный "Кальвостарт"       01100089-001 /22/1806</t>
  </si>
  <si>
    <t>Премикс "МуМикс премиум"       ДРГ 63-010-0174 /03/1806</t>
  </si>
  <si>
    <t>Премикс "МуМикс премиум"       ДРГ 63-010-0174 /06/1706</t>
  </si>
  <si>
    <t>Премикс "МуМикс сухостой"       ДРГ 63-100-0181 /04/1706</t>
  </si>
  <si>
    <t>Премикс "МуМикс сухостой"       ДРГ 63-100-0181 /05/1806</t>
  </si>
  <si>
    <t>Премикс "МуМикс транзит"        ДРГ 63-100-022 /04/1806</t>
  </si>
  <si>
    <t>Премикс "МуМикс транзит"        ДРГ 63-100-022 /07/1706</t>
  </si>
  <si>
    <t>Премикс "МуМикс юниор"         ДРГ 02-050-108 /02/1806</t>
  </si>
  <si>
    <t>Премикс "МуМикс юниор"         ДРГ 02-050-108 /05/1706</t>
  </si>
  <si>
    <t>Козловичи-Агро ОАО</t>
  </si>
  <si>
    <t>КормВетАгро ООО</t>
  </si>
  <si>
    <t xml:space="preserve">                          Комбикорм-концентрат для телят в возрасте до 3 месяцев стартерный "Кальвостарт"       01100087-006 /01/1406</t>
  </si>
  <si>
    <t>Вендорож филиал Могилевэнерго РУП</t>
  </si>
  <si>
    <t xml:space="preserve">                          ККК-603р ДРГ 63-010-400 /02/3005</t>
  </si>
  <si>
    <t>Рачковичи Совхоз Белорусской железной</t>
  </si>
  <si>
    <t xml:space="preserve">                          ККК-603р ДРГ 63-010-400 /07/2506</t>
  </si>
  <si>
    <t xml:space="preserve">                          ККК-603р ДРГ 63-010-400 /02/2006</t>
  </si>
  <si>
    <t>Чучевичи</t>
  </si>
  <si>
    <t xml:space="preserve">                          ККК-603р ДРГ 63-010-410 /02/0306</t>
  </si>
  <si>
    <t xml:space="preserve">                          ККК-603р ДРГ 63-010-410 /08/2506</t>
  </si>
  <si>
    <t xml:space="preserve">                          ККК-603р ДРГ 63-020-430 /04/0206</t>
  </si>
  <si>
    <t>Детскосельский-Городок Филиал Вировлянский</t>
  </si>
  <si>
    <t xml:space="preserve">                          ККК-603р ДРГ 63-070-410 /03/2306</t>
  </si>
  <si>
    <t>Путришки</t>
  </si>
  <si>
    <t xml:space="preserve">                          ККК-603р ДРГ 63-160-410/ 04/0306</t>
  </si>
  <si>
    <t xml:space="preserve">                          ККК-603р ДРГ 63-160-410 /02/0906</t>
  </si>
  <si>
    <t>АгроСолы КСУП</t>
  </si>
  <si>
    <t xml:space="preserve">                          ККК-603р ДРГ 63-160-410 /02/1706</t>
  </si>
  <si>
    <t>Жодишки</t>
  </si>
  <si>
    <t xml:space="preserve">                          ККК-603р ДРГ 63-300-400 /02/0406</t>
  </si>
  <si>
    <t xml:space="preserve">                          ККК-603р ДРГ 63-300-400 /07/2105</t>
  </si>
  <si>
    <t xml:space="preserve">                          ККК-603р ДРГ 63-300-400/01/2006</t>
  </si>
  <si>
    <t xml:space="preserve">                          Концентрат кормовой энергетический "Аминолак"    ДРГ 61-100-400 /03/2006</t>
  </si>
  <si>
    <t>Бакуново</t>
  </si>
  <si>
    <t xml:space="preserve">                          Концентрат кормовой балансирующий "Оптифид баланс"   ДРГ 61-080-410 /01/3005</t>
  </si>
  <si>
    <t xml:space="preserve">                          Концентрат кормовой балансирующий "Оптифид баланс"   ДРГ 61-080-410 /01/2606</t>
  </si>
  <si>
    <t xml:space="preserve">                          Оптима 100</t>
  </si>
  <si>
    <t xml:space="preserve">Старобинский </t>
  </si>
  <si>
    <t xml:space="preserve">                          Алкерфид Антитокс</t>
  </si>
  <si>
    <t xml:space="preserve">                          Актисаф SC 47 STD</t>
  </si>
  <si>
    <t>Красный партизан</t>
  </si>
  <si>
    <t xml:space="preserve">                          Клостат НС SP сухой</t>
  </si>
  <si>
    <t>Межлесское</t>
  </si>
  <si>
    <t xml:space="preserve">                          ХолиДЖЕМ</t>
  </si>
  <si>
    <t xml:space="preserve">                          ЛизиКапс</t>
  </si>
  <si>
    <t xml:space="preserve">                          Токсфин Кеа</t>
  </si>
  <si>
    <t>Птицефабрика Рассвет</t>
  </si>
  <si>
    <t xml:space="preserve">                          НутриКАБ</t>
  </si>
  <si>
    <t>Юлиан</t>
  </si>
  <si>
    <t>Кормикс ЧП</t>
  </si>
  <si>
    <t xml:space="preserve">                          ККК-603р     ДРГ 61-100-210 /06/0206</t>
  </si>
  <si>
    <t>СПК им. Деньщикова</t>
  </si>
  <si>
    <t xml:space="preserve">                          ККК-603р     ДРГ 61-150-200 /11/0506</t>
  </si>
  <si>
    <t>Сельскохозяйственный ф-л "Доброселецкий" КУП "Гроднооблдорстрой"</t>
  </si>
  <si>
    <t xml:space="preserve">                          ККК-603р     ДРГ 61-150-210 /05/1606</t>
  </si>
  <si>
    <t>ОАО "Барановичская птицефабрика"</t>
  </si>
  <si>
    <t xml:space="preserve">                          ККК-603р     ДРГ 63-050-200 /09/0506</t>
  </si>
  <si>
    <t>КУПП "Маньковичи"</t>
  </si>
  <si>
    <t>ОАО "Лядецкий"</t>
  </si>
  <si>
    <t xml:space="preserve">                          ККК-603р     ДРГ 63-010-200 /02/0206</t>
  </si>
  <si>
    <t>ИООО "АФТАБ"</t>
  </si>
  <si>
    <t xml:space="preserve">                          ККК-603р     ДРГ 63-010-200 /04/2306</t>
  </si>
  <si>
    <t xml:space="preserve">                          ККК-603р     ДРГ 63-010-220 /02/2206</t>
  </si>
  <si>
    <t xml:space="preserve">                          ККК-603р     ДРГ 63-010-220 /03/0206</t>
  </si>
  <si>
    <t xml:space="preserve">                          ККК-603р     ДРГ 63-010-260 /03/1206</t>
  </si>
  <si>
    <t>ООО "Сущево-Агро"</t>
  </si>
  <si>
    <t xml:space="preserve">                          ККК-603р     ДРГ 63-020-220 /01/1206</t>
  </si>
  <si>
    <t xml:space="preserve">                          ККК-603р     ДРГ 63-020-220 /04/1606</t>
  </si>
  <si>
    <t xml:space="preserve">                          ККК-603р     ДРГ 63-030-210 /05/0206</t>
  </si>
  <si>
    <t xml:space="preserve">                          ККК-603р     ДРГ 63-010-240 /04/1106</t>
  </si>
  <si>
    <t>ЧП "АГРОВЕТГАРАНТ"</t>
  </si>
  <si>
    <t xml:space="preserve">                          ККК-603р     ДРГ 63-010-240 /05/2306</t>
  </si>
  <si>
    <t xml:space="preserve">                          ККК-603р     ДРГ 63-010-270 /02/2406</t>
  </si>
  <si>
    <t>ОАО "Агро-Детковичи"</t>
  </si>
  <si>
    <t>ОАО "Агро-сад Рассвет"</t>
  </si>
  <si>
    <t xml:space="preserve">                          ККК-603р     ДРГ 63-160-0174 /04/0906</t>
  </si>
  <si>
    <t xml:space="preserve">                          ККК-603р    ДРГ 63-160-200 /01/0606</t>
  </si>
  <si>
    <t>ОАО "Коссово"</t>
  </si>
  <si>
    <t xml:space="preserve">                          ККК-603р ДРГ 63-160-200 /03/0306</t>
  </si>
  <si>
    <t>ОАО "Барановичхлебопродукт"</t>
  </si>
  <si>
    <t>ОАО "Остромечево"</t>
  </si>
  <si>
    <t xml:space="preserve">                          ККК-603р     ДРГ 63-160-200 /03/2504</t>
  </si>
  <si>
    <t xml:space="preserve">                          ККК-603р     ДРГ 63-160-200 /03/2406</t>
  </si>
  <si>
    <t xml:space="preserve">                          ККК-603р     ДРГ 63-160-200 /03/1706</t>
  </si>
  <si>
    <t>ОАО "Василишки"</t>
  </si>
  <si>
    <t xml:space="preserve">                          ККК-603р      ДРГ 63-300-200 /01/1505</t>
  </si>
  <si>
    <t xml:space="preserve">                          ККК-603р      ДРГ 63-300-200 /02/1404</t>
  </si>
  <si>
    <t xml:space="preserve">                          ККК-603р      ДРГ 63-300-200 /04/1206</t>
  </si>
  <si>
    <t xml:space="preserve">                          ККК-603р      ДРГ 63-300-200 /06/1806</t>
  </si>
  <si>
    <t xml:space="preserve">                          ККК-604р     ДРГ 02-025-0434 /09/2006</t>
  </si>
  <si>
    <t xml:space="preserve">                          ККК-604р     ДРГ 02-030-200 /06/1606</t>
  </si>
  <si>
    <t xml:space="preserve">                          ККК-604р     ДРГ 02-030-200 /07/0206</t>
  </si>
  <si>
    <t>ОАО "Покровский"</t>
  </si>
  <si>
    <t xml:space="preserve">                          ККК-605р     ДРГ 01-050-210 /02/1206</t>
  </si>
  <si>
    <t xml:space="preserve">                          ККК-605г      01500138-200 /31/1306</t>
  </si>
  <si>
    <t>ПРУП "Брестоблгаз" СПУ "Доманово"</t>
  </si>
  <si>
    <t xml:space="preserve">                          ККК-605г      01500138-200 /31/2004</t>
  </si>
  <si>
    <t xml:space="preserve">                          Концентрат кормовой энергетический "Аминолак"    ДРГ 61-100-220 /10/0506</t>
  </si>
  <si>
    <t xml:space="preserve">                          Концентрат кормовой энергетический "Аминолак"    ДРГ 61-100-220 /03/2506</t>
  </si>
  <si>
    <t xml:space="preserve">                          Концентрат кормовой энергетический "Аминолак"    ДРГ 61-100-220 /03/2904</t>
  </si>
  <si>
    <t xml:space="preserve">                          Концентрат кормовой энергетический "Аминолак"    ДРГ 61-100-220 /07/2805</t>
  </si>
  <si>
    <t xml:space="preserve">                          Концентрат кормовой энергетический "Аминолак"    ДРГ 61-100-2201/08/1505</t>
  </si>
  <si>
    <t xml:space="preserve">                          Концентрат кормовой балансирующий "Оптифид баланс"    ДРГ 61-100-240/01/1805</t>
  </si>
  <si>
    <t>ОАО "Остромичи"</t>
  </si>
  <si>
    <t xml:space="preserve">                          Концентрат кормовой профилактический "Здоровая печень"    ДРГ 63-025-200 /06/2506</t>
  </si>
  <si>
    <t xml:space="preserve">                          Концентрат кормовой профилактический "Здоровая печень"    ДРГ 63-025-200 /06/0506</t>
  </si>
  <si>
    <t>УП "Гроднооблгаз" СПУ "Протасовщина"</t>
  </si>
  <si>
    <t xml:space="preserve">                          Премикс "МуМикс премиум"    ДРГ 63-010-250/02/2704</t>
  </si>
  <si>
    <t>РФ</t>
  </si>
  <si>
    <t xml:space="preserve">                          Премикс "МуМикс стандарт"    ДРГ 63-030-220/01/2704</t>
  </si>
  <si>
    <t>ОАО "Агро-Пелище"</t>
  </si>
  <si>
    <t xml:space="preserve">                          Асид Баф</t>
  </si>
  <si>
    <t>КУСП "Березовское"</t>
  </si>
  <si>
    <t>ОАО "Демброво"</t>
  </si>
  <si>
    <t>Краснодворцы ОАО</t>
  </si>
  <si>
    <t>ККК-603р       ДРГ 63-010-8188 /07/0406</t>
  </si>
  <si>
    <t>ККК-603р       ДРГ 63-010-8188 /08/0805</t>
  </si>
  <si>
    <t>Красный пищевик-АгроСервис ОАО  Пищевик-Агро Филиал</t>
  </si>
  <si>
    <t>ККК-603р       ДРГ 63-020-1758 /06/2705</t>
  </si>
  <si>
    <t>ККК-603р       ДРГ 63-300-0091 /07/2705</t>
  </si>
  <si>
    <t>ККК-604р       ДРГ 02-010-0525 /05/2705</t>
  </si>
  <si>
    <t>Концентрат кормовой балансирующий "Оптифид баланс"       ДРГ 61-100-1532 /02/2005</t>
  </si>
  <si>
    <t>КронаИнвест ООО</t>
  </si>
  <si>
    <t>Лань-Несвиж ОАО</t>
  </si>
  <si>
    <t>Маяк Высокое ОАО</t>
  </si>
  <si>
    <t>ККК-604р       ДРГ 02-010-0403 /08/0506</t>
  </si>
  <si>
    <t>МилкАгро УП</t>
  </si>
  <si>
    <t xml:space="preserve">                         Оптима 100</t>
  </si>
  <si>
    <t>Несвижские Островки ОАО</t>
  </si>
  <si>
    <t>ККК-603р       ДРГ 63-010-8625 /04/2105</t>
  </si>
  <si>
    <t>ККК-603р       ДРГ 63-010-8626 /01/2805</t>
  </si>
  <si>
    <t>ККК-603р       ДРГ 63-070-028 /02/2805</t>
  </si>
  <si>
    <t xml:space="preserve">                         Алкерфид Антитокс</t>
  </si>
  <si>
    <t>Новая жизнь ОАО</t>
  </si>
  <si>
    <t xml:space="preserve">                         Концентрат кормовой профилактический "Здоровая печень"     63-025-028</t>
  </si>
  <si>
    <t>НОУ-ТИЛЛ Органик ООО</t>
  </si>
  <si>
    <t xml:space="preserve">                          Комбикорм-концентрат для телят в возрасте до 3 месяцев стартерный " Кальвостарт"       01100088-002 /01/3005</t>
  </si>
  <si>
    <t>Озеры СПК Гродненская обл.</t>
  </si>
  <si>
    <t>Ополь-Агро ОАО</t>
  </si>
  <si>
    <t>ККК-603р       ДРГ 63-160-01741 /04/2005</t>
  </si>
  <si>
    <t>Осовецкий СПК</t>
  </si>
  <si>
    <t>ККК-603р       ДРГ 63-010-8615 /04/1006</t>
  </si>
  <si>
    <t>ККК-604р       ДРГ 02-010-0516 /03/1006</t>
  </si>
  <si>
    <t>Парохонское ОАО</t>
  </si>
  <si>
    <t>ПК им. Кремко</t>
  </si>
  <si>
    <t>ККК-603р       ДРГ 63-020-1822 /02/0106</t>
  </si>
  <si>
    <t>ККК-603р       ДРГ 63-020-1823 /01/2206</t>
  </si>
  <si>
    <t>ККК-603р       ДРГ 63-050-0464 /01/0306</t>
  </si>
  <si>
    <t>ККК-603р       ДРГ 63-070-0304 /05/0306</t>
  </si>
  <si>
    <t>ККК-604р       ДРГ 02-010-054 /01/0106</t>
  </si>
  <si>
    <t>Полесье-Агроинвест СУП</t>
  </si>
  <si>
    <t>ККК-604р       ДРГ 02-010-0403 /08/0306</t>
  </si>
  <si>
    <t>ККК-605р       ДРГ 01-050-0261 /07/0306</t>
  </si>
  <si>
    <t xml:space="preserve">                           Концентрат кормовой балансирующий "Оптифид интенсив откорм"    02-050-041</t>
  </si>
  <si>
    <t xml:space="preserve">                           Токсфин сухой</t>
  </si>
  <si>
    <t>Речицкий комбинат хлебопродуктов ОАО</t>
  </si>
  <si>
    <t xml:space="preserve">                          Концентрат кормовой балансирующий "Оптифид интенсив откорм"    02-050-041</t>
  </si>
  <si>
    <t>Рогознянский ОАО Жабинковский</t>
  </si>
  <si>
    <t>ККК-604р       ДРГ 02-010-0525 /09/0206</t>
  </si>
  <si>
    <t>Савушкин - Луч СУП</t>
  </si>
  <si>
    <t>ККК-603р       63010911-002 /03/1306</t>
  </si>
  <si>
    <t>ККК-603р       63010911-002 /10/2706</t>
  </si>
  <si>
    <t>ККК-603р       ДРГ 63-040-016 /01/0406</t>
  </si>
  <si>
    <t>ККК-603р       ДРГ 63-040-016 /01/1606</t>
  </si>
  <si>
    <t>ККК-603р       ДРГ 63-040-016 /04/3006</t>
  </si>
  <si>
    <t>ККК-603р       ДРГ 63-050-04211 /01/1306</t>
  </si>
  <si>
    <t>ККК-603р       ДРГ 63-050-04212 /01/2906</t>
  </si>
  <si>
    <t>ККК-603р       ДРГ 63-160-0174 /01/1706</t>
  </si>
  <si>
    <t xml:space="preserve">                          Сафволл</t>
  </si>
  <si>
    <t>Свитязянка-2003 СПК</t>
  </si>
  <si>
    <t>Снов Агрокомбинат СПК</t>
  </si>
  <si>
    <t>Совхоз Доброволец  УКСХП</t>
  </si>
  <si>
    <t>ККК-603р       ДРГ 61-150-0294 /13/2605</t>
  </si>
  <si>
    <t>ККК-603р       ДРГ 61-150-0295 /05/2506</t>
  </si>
  <si>
    <t>ККК-603р       ДРГ 63-030-186 /02/2506</t>
  </si>
  <si>
    <t>ККК-603р       ДРГ 63-030-186 /11/2605</t>
  </si>
  <si>
    <t>ККК-604р       ДРГ 02-030-0447 /10/2605</t>
  </si>
  <si>
    <t>ККК-604р       ДРГ 02-030-0449 /01/2506</t>
  </si>
  <si>
    <t>ККК-605г       01500137-003 /01/1604</t>
  </si>
  <si>
    <t>Концентрат кормовой балансирующий "Оптифид баланс"       ДРГ 61-050-10611 /04/2205</t>
  </si>
  <si>
    <t>Совхоз-комбинат Заря ГП</t>
  </si>
  <si>
    <t>Сынковичи СПК</t>
  </si>
  <si>
    <t>Телеханы-агро ОАО</t>
  </si>
  <si>
    <t>ККК-603р       ДРГ 63-010-0181 /02/2905</t>
  </si>
  <si>
    <t>ККК-603р       ДРГ 63-010-0182 /07/1606</t>
  </si>
  <si>
    <t>ККК-603р       ДРГ 63-010-019 /03/2905</t>
  </si>
  <si>
    <t>ККК-605р       ДРГ 01-025-017 /04/2905</t>
  </si>
  <si>
    <t>Тышковичи-Агро ОАО</t>
  </si>
  <si>
    <t>ККК-603р       ДРГ 63-300-0091 /05/2105</t>
  </si>
  <si>
    <t>ККК-603р       ДРГ 63-300-0091 /08/2805</t>
  </si>
  <si>
    <t>ККК-604р       ДРГ 02-030-046 /01/0206</t>
  </si>
  <si>
    <t>Федорский СПК</t>
  </si>
  <si>
    <t>ЭффектИнвест ОАО</t>
  </si>
  <si>
    <t>ККК-603р       ДРГ 63-010-7946 /09/2805</t>
  </si>
  <si>
    <t>Концентрат кормовой балансирующий "Оптифид баланс"       ДРГ 61-100-1512 /01/2305</t>
  </si>
  <si>
    <t>Концентрат кормовой балансирующий "Оптифид баланс"       ДРГ 61-100-1512 /01/2306</t>
  </si>
  <si>
    <t>Концентрат кормовой балансирующий "Оптифид баланс"       ДРГ 61-100-1512 /03/2805</t>
  </si>
  <si>
    <t>Концентрат кормовой энергетический "Аминолак"       ДРГ 61-100-0742 /10/2805</t>
  </si>
  <si>
    <t>Южный Агрокомбинат ОАО</t>
  </si>
  <si>
    <t>ККК-603р       ДРГ 63-010-8158 /02/1006</t>
  </si>
  <si>
    <t>ККК-604р       ДРГ 02-010-0403 /01/1006</t>
  </si>
  <si>
    <t>ЯхимовщинаАгро 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</si>
</sst>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8"/>
      <name val="Arial"/>
    </font>
    <font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3" fontId="2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1" fillId="0" borderId="0" xfId="0" applyFont="1"/>
    <xf numFmtId="3" fontId="3" fillId="0" borderId="0" xfId="0" applyNumberFormat="1" applyFont="1" applyAlignment="1">
      <alignment horizontal="right" vertical="top"/>
    </xf>
    <xf numFmtId="1" fontId="2" fillId="2" borderId="1" xfId="0" applyNumberFormat="1" applyFont="1" applyFill="1" applyBorder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/>
    </xf>
    <xf numFmtId="2" fontId="2" fillId="2" borderId="1" xfId="0" applyNumberFormat="1" applyFont="1" applyFill="1" applyBorder="1" applyAlignment="1">
      <alignment horizontal="right" vertical="top"/>
    </xf>
    <xf numFmtId="3" fontId="0" fillId="0" borderId="0" xfId="0" applyNumberFormat="1"/>
    <xf numFmtId="3" fontId="1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1" fontId="3" fillId="0" borderId="0" xfId="0" applyNumberFormat="1" applyFont="1" applyFill="1" applyAlignment="1">
      <alignment horizontal="right" vertical="top"/>
    </xf>
    <xf numFmtId="4" fontId="3" fillId="0" borderId="0" xfId="0" applyNumberFormat="1" applyFont="1" applyFill="1" applyAlignment="1">
      <alignment horizontal="right" vertical="top"/>
    </xf>
    <xf numFmtId="3" fontId="3" fillId="0" borderId="0" xfId="0" applyNumberFormat="1" applyFont="1" applyFill="1" applyAlignment="1">
      <alignment horizontal="right" vertical="top"/>
    </xf>
    <xf numFmtId="0" fontId="1" fillId="0" borderId="0" xfId="0" applyFont="1" applyFill="1"/>
    <xf numFmtId="1" fontId="1" fillId="0" borderId="0" xfId="0" applyNumberFormat="1" applyFont="1"/>
    <xf numFmtId="1" fontId="0" fillId="0" borderId="0" xfId="0" applyNumberFormat="1"/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 indent="10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10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8"/>
    </xf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S342"/>
  <sheetViews>
    <sheetView tabSelected="1" zoomScale="110" zoomScaleNormal="110" workbookViewId="0">
      <selection activeCell="R3" sqref="R3"/>
    </sheetView>
  </sheetViews>
  <sheetFormatPr defaultColWidth="10.5" defaultRowHeight="11.45" customHeight="1" outlineLevelRow="6"/>
  <cols>
    <col min="1" max="1" width="5.6640625" style="10" customWidth="1"/>
    <col min="2" max="2" width="3.33203125" style="10" customWidth="1"/>
    <col min="3" max="3" width="1.5" style="10" customWidth="1"/>
    <col min="4" max="4" width="13.83203125" style="10" customWidth="1"/>
    <col min="5" max="5" width="16.83203125" style="10" customWidth="1"/>
    <col min="6" max="6" width="1.83203125" style="10" customWidth="1"/>
    <col min="7" max="7" width="18.6640625" style="10" customWidth="1"/>
    <col min="8" max="8" width="8.6640625" style="10" customWidth="1"/>
    <col min="9" max="9" width="8.83203125" style="10" customWidth="1"/>
    <col min="10" max="10" width="1.33203125" style="10" customWidth="1"/>
    <col min="11" max="11" width="37.83203125" style="10" customWidth="1"/>
    <col min="12" max="12" width="13.33203125" style="10" customWidth="1"/>
    <col min="13" max="13" width="2.6640625" style="10" customWidth="1"/>
    <col min="14" max="14" width="4.5" style="10" customWidth="1"/>
    <col min="15" max="15" width="14.1640625" style="10" customWidth="1"/>
    <col min="16" max="16" width="16" style="10" customWidth="1"/>
    <col min="18" max="18" width="25.1640625" customWidth="1"/>
    <col min="20" max="20" width="12.83203125" customWidth="1"/>
  </cols>
  <sheetData>
    <row r="1" spans="1:19" s="1" customFormat="1" ht="9.9499999999999993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9" ht="12.9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4" t="s">
        <v>1</v>
      </c>
      <c r="P2" s="34" t="s">
        <v>2</v>
      </c>
    </row>
    <row r="3" spans="1:19" ht="12.95" customHeight="1">
      <c r="A3" s="36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5"/>
      <c r="P3" s="35"/>
    </row>
    <row r="4" spans="1:19" ht="15" customHeight="1">
      <c r="A4" s="37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24">
        <f>SUM(O5,O7,O9,O13,O17,O19,O21,O24,O27,O30,O34,O36,O40,O42,O45,O47,O55,O62,O66,O69,O71,O74,O78,O80,O82,O84,O87,O98,O100,O102,O137,O220,O224,O229,O231,O233,O235,O237,O242,O250,O252,O254,O258,O261,O263,O272,O278,O281,O283,O295,O297,O299,O311,O313,O320,O325,O328,O336,O339,O309)</f>
        <v>684744</v>
      </c>
      <c r="P4" s="25">
        <f>SUM(P5,P7,P9,P13,P17,P19,P21,P24,P27,P30,P34,P36,P40,P42,P45,P47,P55,P62,P66,P69,P71,P74,P78,P80,P82,P84,P87,P98,P100,P102,P137,P220,P224,P229,P231,P233,P235,P237,P242,P250,P252,P254,P258,P261,P263,P272,P278,P281,P283,P295,P297,P299,P311,P313,P320,P325,P328,P336,P339,P309)</f>
        <v>3488497.9200000004</v>
      </c>
    </row>
    <row r="5" spans="1:19" ht="15" customHeight="1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">
        <v>10000</v>
      </c>
      <c r="P5" s="3">
        <v>69500</v>
      </c>
      <c r="R5" s="14" t="s">
        <v>6</v>
      </c>
      <c r="S5" s="15">
        <f>SUM(S6:S13)</f>
        <v>403500</v>
      </c>
    </row>
    <row r="6" spans="1:19" s="6" customFormat="1" ht="15" customHeight="1" outlineLevel="5">
      <c r="A6" s="28" t="s">
        <v>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7">
        <v>10000</v>
      </c>
      <c r="P6" s="5">
        <v>69500</v>
      </c>
      <c r="R6" s="6" t="s">
        <v>8</v>
      </c>
      <c r="S6" s="13">
        <f>SUM(O6,O9,O22,O26,O31,O32,O35,O48,O49,O50,O51,O56,O57,O58,O59,O66,O74,O82,O157,O179,O221,O222,O225,O226,O227,O234,O238,O239,O240,O243,O244,O245,O255,O258,O264,O265,O266,O267,O268,O273,O274,O282,O284,O285,O286,O288,O287,O289,O290,O291,O292,O300,O301,O302,O303,O304,O305,O314,O315,O316,O317,O322,O323,O324,O329,O336,O340,O103,O104,O105,O106,O107,O108,O109,O110,O111,O112,O113,O114,O115,O138,O139,O140,O141,O144,O145,O146,O147,O148,O149,O150,O151,O152,O153,O154,O158,O162,O165,O166,O167,O171,O172,O173,O176,O180,O181,O182)</f>
        <v>262550</v>
      </c>
    </row>
    <row r="7" spans="1:19" s="6" customFormat="1" ht="15" customHeight="1">
      <c r="A7" s="26" t="s">
        <v>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">
        <v>10000</v>
      </c>
      <c r="P7" s="3">
        <v>34400</v>
      </c>
      <c r="R7" s="6" t="s">
        <v>10</v>
      </c>
      <c r="S7" s="13">
        <v>20000</v>
      </c>
    </row>
    <row r="8" spans="1:19" s="6" customFormat="1" ht="15" customHeight="1" outlineLevel="5">
      <c r="A8" s="28" t="s">
        <v>11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7">
        <v>10000</v>
      </c>
      <c r="P8" s="5">
        <v>34400</v>
      </c>
      <c r="R8" s="6" t="s">
        <v>12</v>
      </c>
      <c r="S8" s="13">
        <f>SUM(O43,O228,O330,O331,O332,O194)</f>
        <v>60000</v>
      </c>
    </row>
    <row r="9" spans="1:19" ht="15" customHeight="1">
      <c r="A9" s="26" t="s">
        <v>13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">
        <v>2500</v>
      </c>
      <c r="P9" s="3">
        <v>7510</v>
      </c>
      <c r="R9" s="6" t="s">
        <v>14</v>
      </c>
      <c r="S9" s="12">
        <v>5400</v>
      </c>
    </row>
    <row r="10" spans="1:19" s="6" customFormat="1" ht="15" customHeight="1" outlineLevel="5">
      <c r="A10" s="28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4">
        <v>500</v>
      </c>
      <c r="P10" s="5">
        <v>1380</v>
      </c>
      <c r="R10" s="6" t="s">
        <v>16</v>
      </c>
      <c r="S10" s="12">
        <v>35000</v>
      </c>
    </row>
    <row r="11" spans="1:19" s="6" customFormat="1" ht="15" customHeight="1" outlineLevel="5">
      <c r="A11" s="28" t="s">
        <v>17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4">
        <v>500</v>
      </c>
      <c r="P11" s="5">
        <v>1750</v>
      </c>
      <c r="R11" s="6" t="s">
        <v>18</v>
      </c>
      <c r="S11" s="12">
        <v>9500</v>
      </c>
    </row>
    <row r="12" spans="1:19" s="6" customFormat="1" ht="15" customHeight="1" outlineLevel="5">
      <c r="A12" s="28" t="s">
        <v>19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7">
        <v>1500</v>
      </c>
      <c r="P12" s="5">
        <v>4380</v>
      </c>
      <c r="R12" s="6" t="s">
        <v>20</v>
      </c>
      <c r="S12" s="13">
        <f>SUM(O44,O116,O189,O190,O191,O192,O193,O333)</f>
        <v>8700</v>
      </c>
    </row>
    <row r="13" spans="1:19" s="6" customFormat="1" ht="15" customHeight="1">
      <c r="A13" s="26" t="s">
        <v>21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">
        <v>20000</v>
      </c>
      <c r="P13" s="3">
        <v>67365.37</v>
      </c>
      <c r="R13" s="21" t="s">
        <v>22</v>
      </c>
      <c r="S13" s="13">
        <f>SUM(O197,O198,O246)</f>
        <v>2350</v>
      </c>
    </row>
    <row r="14" spans="1:19" s="6" customFormat="1" ht="15" customHeight="1" outlineLevel="5">
      <c r="A14" s="28" t="s">
        <v>23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7">
        <v>14000</v>
      </c>
      <c r="P14" s="5">
        <v>48784.55</v>
      </c>
      <c r="R14" s="6" t="s">
        <v>24</v>
      </c>
      <c r="S14" s="13">
        <f>SUM(O33,O46,O119,O201,O236,O269,O280,O296)</f>
        <v>71575</v>
      </c>
    </row>
    <row r="15" spans="1:19" s="6" customFormat="1" ht="15" customHeight="1" outlineLevel="5">
      <c r="A15" s="28" t="s">
        <v>25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7">
        <v>2000</v>
      </c>
      <c r="P15" s="5">
        <v>8478.73</v>
      </c>
      <c r="R15" s="6" t="s">
        <v>11</v>
      </c>
      <c r="S15" s="13">
        <f>SUM(O39,O61,O65,O73,O81,O99,O211,O257,O319,O8,A39)</f>
        <v>28950</v>
      </c>
    </row>
    <row r="16" spans="1:19" s="6" customFormat="1" ht="15" customHeight="1" outlineLevel="5">
      <c r="A16" s="28" t="s">
        <v>26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7">
        <v>4000</v>
      </c>
      <c r="P16" s="5">
        <v>10102.09</v>
      </c>
      <c r="R16" s="6" t="s">
        <v>27</v>
      </c>
      <c r="S16" s="13">
        <f>SUM(O29,O133,O215,O253,O271,O277,O298,O335)</f>
        <v>14450</v>
      </c>
    </row>
    <row r="17" spans="1:19" s="6" customFormat="1" ht="15" customHeight="1">
      <c r="A17" s="26" t="s">
        <v>28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8">
        <v>125</v>
      </c>
      <c r="P17" s="3">
        <v>22302.5</v>
      </c>
      <c r="R17" s="6" t="s">
        <v>29</v>
      </c>
      <c r="S17" s="13">
        <f>SUM(O18,O20,O64,O70,O126,O230,O232,O248,O262,O312,O318)</f>
        <v>644</v>
      </c>
    </row>
    <row r="18" spans="1:19" s="6" customFormat="1" ht="15" customHeight="1" outlineLevel="4">
      <c r="A18" s="27" t="s">
        <v>30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4">
        <v>125</v>
      </c>
      <c r="P18" s="5">
        <v>22302.5</v>
      </c>
      <c r="R18" s="6" t="s">
        <v>31</v>
      </c>
      <c r="S18" s="22">
        <f>SUM(O37,O124)</f>
        <v>875</v>
      </c>
    </row>
    <row r="19" spans="1:19" s="6" customFormat="1" ht="15" customHeight="1">
      <c r="A19" s="26" t="s">
        <v>32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8">
        <v>100</v>
      </c>
      <c r="P19" s="3">
        <v>17842</v>
      </c>
      <c r="R19" s="6" t="s">
        <v>33</v>
      </c>
      <c r="S19" s="13">
        <f>SUM(O28,O41,O63,O121,O206,O241,O247,O256,O270,O293)</f>
        <v>13175</v>
      </c>
    </row>
    <row r="20" spans="1:19" s="6" customFormat="1" ht="15" customHeight="1" outlineLevel="4">
      <c r="A20" s="27" t="s">
        <v>30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4">
        <v>100</v>
      </c>
      <c r="P20" s="5">
        <v>17842</v>
      </c>
      <c r="R20" s="6" t="s">
        <v>34</v>
      </c>
      <c r="S20" s="13">
        <v>400</v>
      </c>
    </row>
    <row r="21" spans="1:19" ht="15" customHeight="1">
      <c r="A21" s="26" t="s">
        <v>35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">
        <v>1050</v>
      </c>
      <c r="P21" s="3">
        <v>4993.5</v>
      </c>
      <c r="R21" s="6" t="s">
        <v>36</v>
      </c>
      <c r="S21" s="6">
        <v>125</v>
      </c>
    </row>
    <row r="22" spans="1:19" s="6" customFormat="1" ht="15" customHeight="1" outlineLevel="5">
      <c r="A22" s="28" t="s">
        <v>37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7">
        <v>1000</v>
      </c>
      <c r="P22" s="5">
        <v>2370</v>
      </c>
      <c r="R22" s="6" t="s">
        <v>38</v>
      </c>
      <c r="S22" s="22">
        <f>SUM(O38,O130)</f>
        <v>925</v>
      </c>
    </row>
    <row r="23" spans="1:19" s="6" customFormat="1" ht="15" customHeight="1" outlineLevel="5">
      <c r="A23" s="28" t="s">
        <v>39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4">
        <v>50</v>
      </c>
      <c r="P23" s="5">
        <v>2623.5</v>
      </c>
      <c r="R23" t="s">
        <v>40</v>
      </c>
      <c r="S23" s="22">
        <f>SUM(O131)</f>
        <v>200</v>
      </c>
    </row>
    <row r="24" spans="1:19" s="6" customFormat="1" ht="15" customHeight="1">
      <c r="A24" s="26" t="s">
        <v>41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">
        <v>3500</v>
      </c>
      <c r="P24" s="3">
        <v>9100</v>
      </c>
      <c r="R24" s="6" t="s">
        <v>42</v>
      </c>
      <c r="S24" s="6">
        <v>125</v>
      </c>
    </row>
    <row r="25" spans="1:19" s="6" customFormat="1" ht="15" customHeight="1" outlineLevel="6">
      <c r="A25" s="27" t="s">
        <v>43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7">
        <v>3000</v>
      </c>
      <c r="P25" s="5">
        <v>4800</v>
      </c>
      <c r="R25" s="6" t="s">
        <v>44</v>
      </c>
      <c r="S25" s="23">
        <f>SUM(O23)</f>
        <v>50</v>
      </c>
    </row>
    <row r="26" spans="1:19" s="6" customFormat="1" ht="15" customHeight="1" outlineLevel="5">
      <c r="A26" s="28" t="s">
        <v>45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4">
        <v>500</v>
      </c>
      <c r="P26" s="5">
        <v>4300</v>
      </c>
      <c r="R26" s="6" t="s">
        <v>46</v>
      </c>
      <c r="S26" s="13">
        <f>SUM(O276)</f>
        <v>2000</v>
      </c>
    </row>
    <row r="27" spans="1:19" s="6" customFormat="1" ht="15" customHeight="1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">
        <v>5700</v>
      </c>
      <c r="P27" s="3">
        <v>57097</v>
      </c>
      <c r="R27" s="6" t="s">
        <v>48</v>
      </c>
      <c r="S27" s="13">
        <f>SUM(O132,O310,O334)</f>
        <v>1000</v>
      </c>
    </row>
    <row r="28" spans="1:19" s="6" customFormat="1" ht="15" customHeight="1" outlineLevel="4">
      <c r="A28" s="27" t="s">
        <v>49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7">
        <v>4000</v>
      </c>
      <c r="P28" s="5">
        <v>34640</v>
      </c>
      <c r="R28" s="16" t="s">
        <v>50</v>
      </c>
      <c r="S28" s="17">
        <f>SUM(S29:S31)</f>
        <v>146750</v>
      </c>
    </row>
    <row r="29" spans="1:19" s="6" customFormat="1" ht="15" customHeight="1" outlineLevel="5">
      <c r="A29" s="28" t="s">
        <v>51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7">
        <v>1700</v>
      </c>
      <c r="P29" s="5">
        <v>22457</v>
      </c>
      <c r="R29" s="6" t="s">
        <v>52</v>
      </c>
      <c r="S29" s="13">
        <f>SUM(O60,O223,O306,O307,O183,O186)</f>
        <v>39900</v>
      </c>
    </row>
    <row r="30" spans="1:19" s="6" customFormat="1" ht="15" customHeight="1">
      <c r="A30" s="26" t="s">
        <v>53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">
        <v>15000</v>
      </c>
      <c r="P30" s="3">
        <v>57870</v>
      </c>
      <c r="R30" s="6" t="s">
        <v>54</v>
      </c>
      <c r="S30" s="13">
        <f>SUM(O72,O85,O86,O88,O89,O101,O251,O321,O326,O327,O25)</f>
        <v>86750</v>
      </c>
    </row>
    <row r="31" spans="1:19" s="6" customFormat="1" ht="15" customHeight="1" outlineLevel="5">
      <c r="A31" s="28" t="s">
        <v>55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7">
        <v>9000</v>
      </c>
      <c r="P31" s="5">
        <v>19080</v>
      </c>
      <c r="R31" s="6" t="s">
        <v>56</v>
      </c>
      <c r="S31" s="13">
        <v>20100</v>
      </c>
    </row>
    <row r="32" spans="1:19" s="6" customFormat="1" ht="15" customHeight="1" outlineLevel="5">
      <c r="A32" s="28" t="s">
        <v>57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7">
        <v>1000</v>
      </c>
      <c r="P32" s="5">
        <v>1790</v>
      </c>
      <c r="R32" s="16" t="s">
        <v>4</v>
      </c>
      <c r="S32" s="17">
        <f>SUM(S5,S28,S14:S27)</f>
        <v>684744</v>
      </c>
    </row>
    <row r="33" spans="1:16" s="6" customFormat="1" ht="15" customHeight="1" outlineLevel="4">
      <c r="A33" s="33" t="s">
        <v>58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7">
        <v>5000</v>
      </c>
      <c r="P33" s="5">
        <v>37000</v>
      </c>
    </row>
    <row r="34" spans="1:16" s="6" customFormat="1" ht="15" customHeight="1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">
        <v>2000</v>
      </c>
      <c r="P34" s="3">
        <v>9140</v>
      </c>
    </row>
    <row r="35" spans="1:16" s="6" customFormat="1" ht="15" customHeight="1" outlineLevel="5">
      <c r="A35" s="28" t="s">
        <v>60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7">
        <v>2000</v>
      </c>
      <c r="P35" s="5">
        <v>9140</v>
      </c>
    </row>
    <row r="36" spans="1:16" s="6" customFormat="1" ht="15" customHeight="1">
      <c r="A36" s="26" t="s">
        <v>61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">
        <v>1400</v>
      </c>
      <c r="P36" s="3">
        <v>46938.75</v>
      </c>
    </row>
    <row r="37" spans="1:16" s="6" customFormat="1" ht="15" customHeight="1" outlineLevel="4">
      <c r="A37" s="33" t="s">
        <v>62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4">
        <v>125</v>
      </c>
      <c r="P37" s="5">
        <v>4792.5</v>
      </c>
    </row>
    <row r="38" spans="1:16" s="6" customFormat="1" ht="15" customHeight="1" outlineLevel="5">
      <c r="A38" s="28" t="s">
        <v>38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4">
        <v>775</v>
      </c>
      <c r="P38" s="5">
        <v>40416.25</v>
      </c>
    </row>
    <row r="39" spans="1:16" s="6" customFormat="1" ht="15" customHeight="1" outlineLevel="5">
      <c r="A39" s="28" t="s">
        <v>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4">
        <v>500</v>
      </c>
      <c r="P39" s="5">
        <v>1730</v>
      </c>
    </row>
    <row r="40" spans="1:16" s="6" customFormat="1" ht="15" customHeight="1">
      <c r="A40" s="26" t="s">
        <v>63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">
        <v>1000</v>
      </c>
      <c r="P40" s="3">
        <v>8520</v>
      </c>
    </row>
    <row r="41" spans="1:16" s="6" customFormat="1" ht="15" customHeight="1" outlineLevel="4">
      <c r="A41" s="33" t="s">
        <v>64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7">
        <v>1000</v>
      </c>
      <c r="P41" s="5">
        <v>8520</v>
      </c>
    </row>
    <row r="42" spans="1:16" s="6" customFormat="1" ht="15" customHeight="1">
      <c r="A42" s="26" t="s">
        <v>65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">
        <v>9200</v>
      </c>
      <c r="P42" s="3">
        <v>40042</v>
      </c>
    </row>
    <row r="43" spans="1:16" s="6" customFormat="1" ht="15" customHeight="1" outlineLevel="5">
      <c r="A43" s="28" t="s">
        <v>66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7">
        <v>7000</v>
      </c>
      <c r="P43" s="5">
        <v>22750</v>
      </c>
    </row>
    <row r="44" spans="1:16" s="6" customFormat="1" ht="15" customHeight="1" outlineLevel="5">
      <c r="A44" s="28" t="s">
        <v>67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7">
        <v>2200</v>
      </c>
      <c r="P44" s="5">
        <v>17292</v>
      </c>
    </row>
    <row r="45" spans="1:16" s="6" customFormat="1" ht="15" customHeight="1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">
        <v>18000</v>
      </c>
      <c r="P45" s="3">
        <v>133200</v>
      </c>
    </row>
    <row r="46" spans="1:16" s="6" customFormat="1" ht="15" customHeight="1" outlineLevel="4">
      <c r="A46" s="33" t="s">
        <v>58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7">
        <v>18000</v>
      </c>
      <c r="P46" s="5">
        <v>133200</v>
      </c>
    </row>
    <row r="47" spans="1:16" s="6" customFormat="1" ht="15" customHeight="1">
      <c r="A47" s="26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">
        <v>42000</v>
      </c>
      <c r="P47" s="3">
        <v>103410</v>
      </c>
    </row>
    <row r="48" spans="1:16" s="6" customFormat="1" ht="15" customHeight="1" outlineLevel="5">
      <c r="A48" s="28" t="s">
        <v>70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7">
        <v>6000</v>
      </c>
      <c r="P48" s="5">
        <v>17400</v>
      </c>
    </row>
    <row r="49" spans="1:16" s="6" customFormat="1" ht="15" customHeight="1" outlineLevel="5">
      <c r="A49" s="28" t="s">
        <v>71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7">
        <v>6000</v>
      </c>
      <c r="P49" s="5">
        <v>17400</v>
      </c>
    </row>
    <row r="50" spans="1:16" s="6" customFormat="1" ht="15" customHeight="1" outlineLevel="5">
      <c r="A50" s="28" t="s">
        <v>72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7">
        <v>3000</v>
      </c>
      <c r="P50" s="5">
        <v>8280</v>
      </c>
    </row>
    <row r="51" spans="1:16" s="6" customFormat="1" ht="15" customHeight="1" outlineLevel="5">
      <c r="A51" s="28" t="s">
        <v>73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7">
        <v>3000</v>
      </c>
      <c r="P51" s="5">
        <v>8280</v>
      </c>
    </row>
    <row r="52" spans="1:16" s="6" customFormat="1" ht="15" customHeight="1" outlineLevel="5">
      <c r="A52" s="28" t="s">
        <v>74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7">
        <v>9000</v>
      </c>
      <c r="P52" s="5">
        <v>18090</v>
      </c>
    </row>
    <row r="53" spans="1:16" s="6" customFormat="1" ht="15" customHeight="1" outlineLevel="5">
      <c r="A53" s="28" t="s">
        <v>75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7">
        <v>12000</v>
      </c>
      <c r="P53" s="5">
        <v>24120</v>
      </c>
    </row>
    <row r="54" spans="1:16" s="6" customFormat="1" ht="15" customHeight="1" outlineLevel="5">
      <c r="A54" s="28" t="s">
        <v>76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7">
        <v>3000</v>
      </c>
      <c r="P54" s="5">
        <v>9840</v>
      </c>
    </row>
    <row r="55" spans="1:16" s="6" customFormat="1" ht="15" customHeight="1">
      <c r="A55" s="26" t="s">
        <v>77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">
        <v>17000</v>
      </c>
      <c r="P55" s="3">
        <v>75650</v>
      </c>
    </row>
    <row r="56" spans="1:16" s="6" customFormat="1" ht="15" customHeight="1" outlineLevel="5">
      <c r="A56" s="28" t="s">
        <v>78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7">
        <v>2000</v>
      </c>
      <c r="P56" s="5">
        <v>27360</v>
      </c>
    </row>
    <row r="57" spans="1:16" s="6" customFormat="1" ht="15" customHeight="1" outlineLevel="5">
      <c r="A57" s="28" t="s">
        <v>79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7">
        <v>3000</v>
      </c>
      <c r="P57" s="5">
        <v>15900</v>
      </c>
    </row>
    <row r="58" spans="1:16" s="6" customFormat="1" ht="15" customHeight="1" outlineLevel="5">
      <c r="A58" s="28" t="s">
        <v>80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7">
        <v>4000</v>
      </c>
      <c r="P58" s="5">
        <v>9360</v>
      </c>
    </row>
    <row r="59" spans="1:16" s="6" customFormat="1" ht="15" customHeight="1" outlineLevel="5">
      <c r="A59" s="28" t="s">
        <v>81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7">
        <v>2000</v>
      </c>
      <c r="P59" s="5">
        <v>5420</v>
      </c>
    </row>
    <row r="60" spans="1:16" s="6" customFormat="1" ht="15" customHeight="1" outlineLevel="5">
      <c r="A60" s="28" t="s">
        <v>82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7">
        <v>3000</v>
      </c>
      <c r="P60" s="5">
        <v>7020</v>
      </c>
    </row>
    <row r="61" spans="1:16" s="6" customFormat="1" ht="15" customHeight="1" outlineLevel="5">
      <c r="A61" s="28" t="s">
        <v>11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7">
        <v>3000</v>
      </c>
      <c r="P61" s="5">
        <v>10590</v>
      </c>
    </row>
    <row r="62" spans="1:16" s="6" customFormat="1" ht="15" customHeight="1">
      <c r="A62" s="26" t="s">
        <v>83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">
        <v>1400</v>
      </c>
      <c r="P62" s="3">
        <v>24144</v>
      </c>
    </row>
    <row r="63" spans="1:16" s="6" customFormat="1" ht="15" customHeight="1" outlineLevel="4">
      <c r="A63" s="33" t="s">
        <v>84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4">
        <v>300</v>
      </c>
      <c r="P63" s="5">
        <v>2556</v>
      </c>
    </row>
    <row r="64" spans="1:16" s="6" customFormat="1" ht="15" customHeight="1" outlineLevel="4">
      <c r="A64" s="33" t="s">
        <v>85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4">
        <v>100</v>
      </c>
      <c r="P64" s="5">
        <v>18058</v>
      </c>
    </row>
    <row r="65" spans="1:16" s="6" customFormat="1" ht="15" customHeight="1" outlineLevel="5">
      <c r="A65" s="28" t="s">
        <v>11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7">
        <v>1000</v>
      </c>
      <c r="P65" s="5">
        <v>3530</v>
      </c>
    </row>
    <row r="66" spans="1:16" s="6" customFormat="1" ht="15" customHeight="1">
      <c r="A66" s="26" t="s">
        <v>86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">
        <v>10000</v>
      </c>
      <c r="P66" s="3">
        <v>48600</v>
      </c>
    </row>
    <row r="67" spans="1:16" s="6" customFormat="1" ht="15" customHeight="1" outlineLevel="5">
      <c r="A67" s="28" t="s">
        <v>87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7">
        <v>5000</v>
      </c>
      <c r="P67" s="5">
        <v>24300</v>
      </c>
    </row>
    <row r="68" spans="1:16" s="6" customFormat="1" ht="15" customHeight="1" outlineLevel="5">
      <c r="A68" s="28" t="s">
        <v>88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7">
        <v>5000</v>
      </c>
      <c r="P68" s="5">
        <v>24300</v>
      </c>
    </row>
    <row r="69" spans="1:16" s="6" customFormat="1" ht="15" customHeight="1">
      <c r="A69" s="26" t="s">
        <v>89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8">
        <v>10</v>
      </c>
      <c r="P69" s="3">
        <v>1846.1</v>
      </c>
    </row>
    <row r="70" spans="1:16" s="6" customFormat="1" ht="15" customHeight="1" outlineLevel="4">
      <c r="A70" s="33" t="s">
        <v>85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4">
        <v>10</v>
      </c>
      <c r="P70" s="5">
        <v>1846.1</v>
      </c>
    </row>
    <row r="71" spans="1:16" s="6" customFormat="1" ht="15" customHeight="1">
      <c r="A71" s="26" t="s">
        <v>90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">
        <v>3100</v>
      </c>
      <c r="P71" s="3">
        <v>5153</v>
      </c>
    </row>
    <row r="72" spans="1:16" s="6" customFormat="1" ht="15" customHeight="1" outlineLevel="6">
      <c r="A72" s="27" t="s">
        <v>91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7">
        <v>3000</v>
      </c>
      <c r="P72" s="5">
        <v>4800</v>
      </c>
    </row>
    <row r="73" spans="1:16" s="6" customFormat="1" ht="15" customHeight="1" outlineLevel="5">
      <c r="A73" s="28" t="s">
        <v>11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4">
        <v>100</v>
      </c>
      <c r="P73" s="9">
        <v>353</v>
      </c>
    </row>
    <row r="74" spans="1:16" s="6" customFormat="1" ht="15" customHeight="1">
      <c r="A74" s="26" t="s">
        <v>92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">
        <v>6000</v>
      </c>
      <c r="P74" s="3">
        <v>20790</v>
      </c>
    </row>
    <row r="75" spans="1:16" s="6" customFormat="1" ht="15" customHeight="1" outlineLevel="5">
      <c r="A75" s="28" t="s">
        <v>93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4">
        <v>750</v>
      </c>
      <c r="P75" s="5">
        <v>2962.5</v>
      </c>
    </row>
    <row r="76" spans="1:16" s="6" customFormat="1" ht="15" customHeight="1" outlineLevel="5">
      <c r="A76" s="28" t="s">
        <v>94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7">
        <v>2250</v>
      </c>
      <c r="P76" s="5">
        <v>8887.5</v>
      </c>
    </row>
    <row r="77" spans="1:16" s="6" customFormat="1" ht="15" customHeight="1" outlineLevel="5">
      <c r="A77" s="28" t="s">
        <v>95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7">
        <v>3000</v>
      </c>
      <c r="P77" s="5">
        <v>8940</v>
      </c>
    </row>
    <row r="78" spans="1:16" s="6" customFormat="1" ht="15" customHeight="1">
      <c r="A78" s="26" t="s">
        <v>96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8">
        <v>125</v>
      </c>
      <c r="P78" s="3">
        <v>3405</v>
      </c>
    </row>
    <row r="79" spans="1:16" s="6" customFormat="1" ht="15" customHeight="1" outlineLevel="4">
      <c r="A79" s="27" t="s">
        <v>97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4">
        <v>125</v>
      </c>
      <c r="P79" s="5">
        <v>3405</v>
      </c>
    </row>
    <row r="80" spans="1:16" s="6" customFormat="1" ht="15" customHeight="1">
      <c r="A80" s="26" t="s">
        <v>98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8">
        <v>500</v>
      </c>
      <c r="P80" s="3">
        <v>1765</v>
      </c>
    </row>
    <row r="81" spans="1:16" s="6" customFormat="1" ht="15" customHeight="1" outlineLevel="5">
      <c r="A81" s="28" t="s">
        <v>11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4">
        <v>500</v>
      </c>
      <c r="P81" s="5">
        <v>1765</v>
      </c>
    </row>
    <row r="82" spans="1:16" s="6" customFormat="1" ht="15" customHeight="1">
      <c r="A82" s="26" t="s">
        <v>99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">
        <v>1000</v>
      </c>
      <c r="P82" s="3">
        <v>7300</v>
      </c>
    </row>
    <row r="83" spans="1:16" s="6" customFormat="1" ht="15" customHeight="1" outlineLevel="5">
      <c r="A83" s="28" t="s">
        <v>100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7">
        <v>1000</v>
      </c>
      <c r="P83" s="5">
        <v>7300</v>
      </c>
    </row>
    <row r="84" spans="1:16" s="6" customFormat="1" ht="15" customHeight="1">
      <c r="A84" s="26" t="s">
        <v>101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">
        <v>39850</v>
      </c>
      <c r="P84" s="3">
        <v>51805</v>
      </c>
    </row>
    <row r="85" spans="1:16" s="6" customFormat="1" ht="15" customHeight="1" outlineLevel="6">
      <c r="A85" s="27" t="s">
        <v>102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7">
        <v>19850</v>
      </c>
      <c r="P85" s="5">
        <v>25805</v>
      </c>
    </row>
    <row r="86" spans="1:16" s="6" customFormat="1" ht="15" customHeight="1" outlineLevel="6">
      <c r="A86" s="27" t="s">
        <v>103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7">
        <v>20000</v>
      </c>
      <c r="P86" s="5">
        <v>26000</v>
      </c>
    </row>
    <row r="87" spans="1:16" s="6" customFormat="1" ht="15" customHeight="1">
      <c r="A87" s="26" t="s">
        <v>104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">
        <v>20000</v>
      </c>
      <c r="P87" s="3">
        <v>66519.31</v>
      </c>
    </row>
    <row r="88" spans="1:16" s="6" customFormat="1" ht="15" customHeight="1" outlineLevel="6">
      <c r="A88" s="27" t="s">
        <v>105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7">
        <v>5000</v>
      </c>
      <c r="P88" s="5">
        <v>8591.6200000000008</v>
      </c>
    </row>
    <row r="89" spans="1:16" s="6" customFormat="1" ht="15" customHeight="1" outlineLevel="6">
      <c r="A89" s="27" t="s">
        <v>106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4">
        <v>900</v>
      </c>
      <c r="P89" s="5">
        <v>1546.49</v>
      </c>
    </row>
    <row r="90" spans="1:16" s="6" customFormat="1" ht="15" customHeight="1" outlineLevel="5">
      <c r="A90" s="28" t="s">
        <v>107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4">
        <v>700</v>
      </c>
      <c r="P90" s="5">
        <v>3367.81</v>
      </c>
    </row>
    <row r="91" spans="1:16" s="6" customFormat="1" ht="15" customHeight="1" outlineLevel="5">
      <c r="A91" s="28" t="s">
        <v>108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7">
        <v>4300</v>
      </c>
      <c r="P91" s="5">
        <v>20687.97</v>
      </c>
    </row>
    <row r="92" spans="1:16" s="6" customFormat="1" ht="15" customHeight="1" outlineLevel="5">
      <c r="A92" s="28" t="s">
        <v>109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7">
        <v>1000</v>
      </c>
      <c r="P92" s="5">
        <v>4255.4399999999996</v>
      </c>
    </row>
    <row r="93" spans="1:16" s="6" customFormat="1" ht="15" customHeight="1" outlineLevel="5">
      <c r="A93" s="28" t="s">
        <v>110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4">
        <v>300</v>
      </c>
      <c r="P93" s="5">
        <v>1276.6300000000001</v>
      </c>
    </row>
    <row r="94" spans="1:16" s="6" customFormat="1" ht="15" customHeight="1" outlineLevel="5">
      <c r="A94" s="28" t="s">
        <v>111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4">
        <v>200</v>
      </c>
      <c r="P94" s="5">
        <v>1750.62</v>
      </c>
    </row>
    <row r="95" spans="1:16" s="6" customFormat="1" ht="15" customHeight="1" outlineLevel="5">
      <c r="A95" s="28" t="s">
        <v>112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7">
        <v>1600</v>
      </c>
      <c r="P95" s="5">
        <v>14004.97</v>
      </c>
    </row>
    <row r="96" spans="1:16" s="6" customFormat="1" ht="15" customHeight="1" outlineLevel="5">
      <c r="A96" s="28" t="s">
        <v>113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4">
        <v>500</v>
      </c>
      <c r="P96" s="9">
        <v>919.81</v>
      </c>
    </row>
    <row r="97" spans="1:17" s="6" customFormat="1" ht="15" customHeight="1" outlineLevel="5">
      <c r="A97" s="28" t="s">
        <v>114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7">
        <v>5500</v>
      </c>
      <c r="P97" s="5">
        <v>10117.950000000001</v>
      </c>
    </row>
    <row r="98" spans="1:17" ht="15" customHeight="1">
      <c r="A98" s="26" t="s">
        <v>115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">
        <v>1400</v>
      </c>
      <c r="P98" s="3">
        <v>4942</v>
      </c>
    </row>
    <row r="99" spans="1:17" s="6" customFormat="1" ht="15" customHeight="1" outlineLevel="5">
      <c r="A99" s="28" t="s">
        <v>11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7">
        <v>1400</v>
      </c>
      <c r="P99" s="5">
        <v>4942</v>
      </c>
    </row>
    <row r="100" spans="1:17" s="6" customFormat="1" ht="15" customHeight="1">
      <c r="A100" s="26" t="s">
        <v>116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">
        <v>12000</v>
      </c>
      <c r="P100" s="3">
        <v>16320</v>
      </c>
    </row>
    <row r="101" spans="1:17" s="6" customFormat="1" ht="15" customHeight="1" outlineLevel="6">
      <c r="A101" s="27" t="s">
        <v>117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7">
        <v>12000</v>
      </c>
      <c r="P101" s="5">
        <v>16320</v>
      </c>
      <c r="Q101" s="6" t="s">
        <v>118</v>
      </c>
    </row>
    <row r="102" spans="1:17" s="6" customFormat="1" ht="15" customHeight="1">
      <c r="A102" s="26" t="s">
        <v>116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">
        <f>SUM(O103,O104,O105,O106,O107,O108,O109,O110,O111,O112,O113,O114,O115,O116,O117,O118,O119,O121,O124,O126,O130,O131,O133,O132)</f>
        <v>35925</v>
      </c>
      <c r="P102" s="3">
        <f>SUM(P103,P104,P105,P106,P107,P108,P109,P110,P111,P112,P113,P114,P115,P116,P117,P118,P119,P121,P124,P126,P130,P131,P133,P132)</f>
        <v>271638</v>
      </c>
    </row>
    <row r="103" spans="1:17" s="6" customFormat="1" ht="15" customHeight="1">
      <c r="A103" s="27" t="s">
        <v>119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7">
        <v>650</v>
      </c>
      <c r="P103" s="5">
        <v>1833</v>
      </c>
      <c r="Q103" s="6" t="s">
        <v>120</v>
      </c>
    </row>
    <row r="104" spans="1:17" s="6" customFormat="1" ht="15" customHeight="1">
      <c r="A104" s="27" t="s">
        <v>121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7">
        <v>650</v>
      </c>
      <c r="P104" s="5">
        <v>1846</v>
      </c>
      <c r="Q104" s="6" t="s">
        <v>120</v>
      </c>
    </row>
    <row r="105" spans="1:17" s="6" customFormat="1" ht="15" customHeight="1">
      <c r="A105" s="27" t="s">
        <v>122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7">
        <v>1800</v>
      </c>
      <c r="P105" s="5">
        <v>5094</v>
      </c>
      <c r="Q105" s="6" t="s">
        <v>123</v>
      </c>
    </row>
    <row r="106" spans="1:17" s="6" customFormat="1" ht="15" customHeight="1">
      <c r="A106" s="27" t="s">
        <v>124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7">
        <v>650</v>
      </c>
      <c r="P106" s="5">
        <v>4069</v>
      </c>
      <c r="Q106" s="6" t="s">
        <v>120</v>
      </c>
    </row>
    <row r="107" spans="1:17" s="6" customFormat="1" ht="15" customHeight="1">
      <c r="A107" s="27" t="s">
        <v>125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7">
        <v>650</v>
      </c>
      <c r="P107" s="5">
        <v>4062.5</v>
      </c>
      <c r="Q107" s="6" t="s">
        <v>120</v>
      </c>
    </row>
    <row r="108" spans="1:17" s="6" customFormat="1" ht="15" customHeight="1">
      <c r="A108" s="27" t="s">
        <v>126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7">
        <v>1000</v>
      </c>
      <c r="P108" s="5">
        <v>3670</v>
      </c>
      <c r="Q108" s="6" t="s">
        <v>127</v>
      </c>
    </row>
    <row r="109" spans="1:17" s="6" customFormat="1" ht="15" customHeight="1">
      <c r="A109" s="27" t="s">
        <v>128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7">
        <v>2000</v>
      </c>
      <c r="P109" s="5">
        <v>5040</v>
      </c>
      <c r="Q109" s="6" t="s">
        <v>129</v>
      </c>
    </row>
    <row r="110" spans="1:17" s="6" customFormat="1" ht="15" customHeight="1">
      <c r="A110" s="27" t="s">
        <v>130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7">
        <v>2100</v>
      </c>
      <c r="P110" s="5">
        <v>11508</v>
      </c>
      <c r="Q110" s="6" t="s">
        <v>127</v>
      </c>
    </row>
    <row r="111" spans="1:17" s="6" customFormat="1" ht="15" customHeight="1">
      <c r="A111" s="27" t="s">
        <v>131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7">
        <v>3000</v>
      </c>
      <c r="P111" s="5">
        <v>16710</v>
      </c>
      <c r="Q111" s="6" t="s">
        <v>132</v>
      </c>
    </row>
    <row r="112" spans="1:17" s="6" customFormat="1" ht="15" customHeight="1">
      <c r="A112" s="27" t="s">
        <v>133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7">
        <v>400</v>
      </c>
      <c r="P112" s="5">
        <v>2232</v>
      </c>
      <c r="Q112" s="6" t="s">
        <v>134</v>
      </c>
    </row>
    <row r="113" spans="1:17" s="6" customFormat="1" ht="15" customHeight="1">
      <c r="A113" s="27" t="s">
        <v>135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7">
        <v>5000</v>
      </c>
      <c r="P113" s="5">
        <v>27450</v>
      </c>
      <c r="Q113" s="6" t="s">
        <v>127</v>
      </c>
    </row>
    <row r="114" spans="1:17" s="6" customFormat="1" ht="15" customHeight="1">
      <c r="A114" s="27" t="s">
        <v>136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7">
        <v>550</v>
      </c>
      <c r="P114" s="5">
        <v>3047</v>
      </c>
      <c r="Q114" s="6" t="s">
        <v>123</v>
      </c>
    </row>
    <row r="115" spans="1:17" s="6" customFormat="1" ht="15" customHeight="1">
      <c r="A115" s="27" t="s">
        <v>137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7">
        <v>1600</v>
      </c>
      <c r="P115" s="5">
        <v>8768</v>
      </c>
      <c r="Q115" s="6" t="s">
        <v>134</v>
      </c>
    </row>
    <row r="116" spans="1:17" s="6" customFormat="1" ht="15" customHeight="1">
      <c r="A116" s="27" t="s">
        <v>138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7">
        <v>1000</v>
      </c>
      <c r="P116" s="5">
        <v>7860</v>
      </c>
      <c r="Q116" s="6" t="s">
        <v>139</v>
      </c>
    </row>
    <row r="117" spans="1:17" s="6" customFormat="1" ht="15" customHeight="1">
      <c r="A117" s="27" t="s">
        <v>140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7">
        <v>2700</v>
      </c>
      <c r="P117" s="5">
        <v>14634</v>
      </c>
      <c r="Q117" s="6" t="s">
        <v>120</v>
      </c>
    </row>
    <row r="118" spans="1:17" s="6" customFormat="1" ht="15" customHeight="1">
      <c r="A118" s="27" t="s">
        <v>141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7">
        <v>2700</v>
      </c>
      <c r="P118" s="5">
        <v>15390</v>
      </c>
      <c r="Q118" s="6" t="s">
        <v>120</v>
      </c>
    </row>
    <row r="119" spans="1:17" s="6" customFormat="1" ht="15" customHeight="1" outlineLevel="4">
      <c r="A119" s="27" t="s">
        <v>142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7">
        <v>5175</v>
      </c>
      <c r="P119" s="5">
        <v>31581</v>
      </c>
    </row>
    <row r="120" spans="1:17" s="6" customFormat="1" ht="15" customHeight="1" outlineLevel="4">
      <c r="A120" s="32" t="s">
        <v>143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7">
        <v>4200</v>
      </c>
      <c r="P120" s="5">
        <v>25536</v>
      </c>
    </row>
    <row r="121" spans="1:17" s="6" customFormat="1" ht="15" customHeight="1" outlineLevel="4">
      <c r="A121" s="27" t="s">
        <v>144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4">
        <v>825</v>
      </c>
      <c r="P121" s="5">
        <v>6818.75</v>
      </c>
    </row>
    <row r="122" spans="1:17" s="6" customFormat="1" ht="15" customHeight="1" outlineLevel="4">
      <c r="A122" s="32" t="s">
        <v>123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4">
        <v>275</v>
      </c>
      <c r="P122" s="5">
        <v>2318.25</v>
      </c>
    </row>
    <row r="123" spans="1:17" s="6" customFormat="1" ht="15" customHeight="1" outlineLevel="4">
      <c r="A123" s="32" t="s">
        <v>139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4">
        <v>150</v>
      </c>
      <c r="P123" s="5">
        <v>1232.5</v>
      </c>
    </row>
    <row r="124" spans="1:17" s="6" customFormat="1" ht="15" customHeight="1" outlineLevel="4">
      <c r="A124" s="27" t="s">
        <v>145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4">
        <v>750</v>
      </c>
      <c r="P124" s="5">
        <v>29079</v>
      </c>
    </row>
    <row r="125" spans="1:17" s="6" customFormat="1" ht="15" customHeight="1" outlineLevel="4">
      <c r="A125" s="32" t="s">
        <v>146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4">
        <v>350</v>
      </c>
      <c r="P125" s="5">
        <v>13419</v>
      </c>
    </row>
    <row r="126" spans="1:17" s="6" customFormat="1" ht="15" customHeight="1" outlineLevel="4">
      <c r="A126" s="27" t="s">
        <v>147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4">
        <v>125</v>
      </c>
      <c r="P126" s="5">
        <v>22027.25</v>
      </c>
    </row>
    <row r="127" spans="1:17" s="6" customFormat="1" ht="15" customHeight="1" outlineLevel="4">
      <c r="A127" s="32" t="s">
        <v>123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4">
        <v>50</v>
      </c>
      <c r="P127" s="5">
        <v>8921</v>
      </c>
    </row>
    <row r="128" spans="1:17" s="6" customFormat="1" ht="15" customHeight="1" outlineLevel="4">
      <c r="A128" s="32" t="s">
        <v>148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4">
        <v>50</v>
      </c>
      <c r="P128" s="5">
        <v>8737.5</v>
      </c>
    </row>
    <row r="129" spans="1:17" s="6" customFormat="1" ht="15" customHeight="1" outlineLevel="4">
      <c r="A129" s="32" t="s">
        <v>139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4">
        <v>25</v>
      </c>
      <c r="P129" s="5">
        <v>4368.75</v>
      </c>
    </row>
    <row r="130" spans="1:17" s="6" customFormat="1" ht="15" customHeight="1" outlineLevel="5">
      <c r="A130" s="27" t="s">
        <v>149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4">
        <v>150</v>
      </c>
      <c r="P130" s="5">
        <v>7889.5</v>
      </c>
    </row>
    <row r="131" spans="1:17" s="6" customFormat="1" ht="15" customHeight="1" outlineLevel="5">
      <c r="A131" s="27" t="s">
        <v>150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4">
        <v>200</v>
      </c>
      <c r="P131" s="5">
        <v>6324</v>
      </c>
    </row>
    <row r="132" spans="1:17" s="6" customFormat="1" ht="15" customHeight="1" outlineLevel="5">
      <c r="A132" s="27" t="s">
        <v>151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4">
        <v>200</v>
      </c>
      <c r="P132" s="5">
        <v>3289</v>
      </c>
      <c r="Q132" s="6" t="s">
        <v>152</v>
      </c>
    </row>
    <row r="133" spans="1:17" s="6" customFormat="1" ht="15" customHeight="1" outlineLevel="5">
      <c r="A133" s="27" t="s">
        <v>153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7">
        <v>2050</v>
      </c>
      <c r="P133" s="5">
        <v>31416</v>
      </c>
    </row>
    <row r="134" spans="1:17" s="6" customFormat="1" ht="15" customHeight="1" outlineLevel="5">
      <c r="A134" s="32" t="s">
        <v>123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7">
        <v>250</v>
      </c>
      <c r="P134" s="5">
        <v>3865</v>
      </c>
    </row>
    <row r="135" spans="1:17" s="6" customFormat="1" ht="15" customHeight="1" outlineLevel="5">
      <c r="A135" s="32" t="s">
        <v>139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7">
        <v>700</v>
      </c>
      <c r="P135" s="5">
        <v>10790</v>
      </c>
    </row>
    <row r="136" spans="1:17" s="6" customFormat="1" ht="15" customHeight="1" outlineLevel="5">
      <c r="A136" s="32" t="s">
        <v>154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7">
        <v>100</v>
      </c>
      <c r="P136" s="5">
        <v>1546</v>
      </c>
    </row>
    <row r="137" spans="1:17" s="6" customFormat="1" ht="15" customHeight="1">
      <c r="A137" s="26" t="s">
        <v>155</v>
      </c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">
        <f>SUM(O138,O139,O140,O141,O144,O145,O146,O147,O148,O149,O150,O151,O152,O153,O154,O157,O158,O162,O165,O166,O167,O171,O172,O173,O176,O179,O180,O181,O182,O183,O186,O189,O190,O191,O192,O193,O194,O197,O198,O199,O200,O201,O206,O211,O215)</f>
        <v>127650</v>
      </c>
      <c r="P137" s="3">
        <f>SUM(P138,P139,P140,P141,P144,P145,P146,P147,P148,P149,P150,P151,P152,P153,P154,P157,P158,P162,P165,P166,P167,P171,P172,P173,P176,P179,P180,P181,P182,P183,P186,P189,P190,P191,P192,P193,P194,P197,P198,P199,P200,P201,P206,P211,P215)</f>
        <v>841317.15</v>
      </c>
    </row>
    <row r="138" spans="1:17" s="6" customFormat="1" ht="15" customHeight="1">
      <c r="A138" s="27" t="s">
        <v>156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7">
        <v>2000</v>
      </c>
      <c r="P138" s="5">
        <v>23040</v>
      </c>
      <c r="Q138" s="6" t="s">
        <v>157</v>
      </c>
    </row>
    <row r="139" spans="1:17" s="6" customFormat="1" ht="15" customHeight="1">
      <c r="A139" s="27" t="s">
        <v>158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7">
        <v>1000</v>
      </c>
      <c r="P139" s="5">
        <v>6860</v>
      </c>
      <c r="Q139" s="6" t="s">
        <v>159</v>
      </c>
    </row>
    <row r="140" spans="1:17" s="6" customFormat="1" ht="15" customHeight="1">
      <c r="A140" s="27" t="s">
        <v>160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7">
        <v>4700</v>
      </c>
      <c r="P140" s="5">
        <v>40655</v>
      </c>
      <c r="Q140" s="6" t="s">
        <v>161</v>
      </c>
    </row>
    <row r="141" spans="1:17" s="21" customFormat="1" ht="15" customHeight="1">
      <c r="A141" s="29" t="s">
        <v>162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0">
        <v>1100</v>
      </c>
      <c r="P141" s="19">
        <v>3872</v>
      </c>
    </row>
    <row r="142" spans="1:17" s="21" customFormat="1" ht="15" customHeight="1">
      <c r="A142" s="30" t="s">
        <v>163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20">
        <v>400</v>
      </c>
      <c r="P142" s="19">
        <v>1408</v>
      </c>
    </row>
    <row r="143" spans="1:17" s="21" customFormat="1" ht="15" customHeight="1">
      <c r="A143" s="30" t="s">
        <v>164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20">
        <v>700</v>
      </c>
      <c r="P143" s="19">
        <v>2464</v>
      </c>
    </row>
    <row r="144" spans="1:17" s="21" customFormat="1" ht="15" customHeight="1">
      <c r="A144" s="29" t="s">
        <v>165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0">
        <v>3000</v>
      </c>
      <c r="P144" s="19">
        <v>7890</v>
      </c>
      <c r="Q144" s="21" t="s">
        <v>166</v>
      </c>
    </row>
    <row r="145" spans="1:17" s="21" customFormat="1" ht="15" customHeight="1">
      <c r="A145" s="29" t="s">
        <v>167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0">
        <v>2000</v>
      </c>
      <c r="P145" s="19">
        <v>5340</v>
      </c>
      <c r="Q145" s="21" t="s">
        <v>166</v>
      </c>
    </row>
    <row r="146" spans="1:17" s="21" customFormat="1" ht="15" customHeight="1">
      <c r="A146" s="29" t="s">
        <v>168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0">
        <v>2000</v>
      </c>
      <c r="P146" s="19">
        <v>8480</v>
      </c>
      <c r="Q146" s="21" t="s">
        <v>166</v>
      </c>
    </row>
    <row r="147" spans="1:17" s="21" customFormat="1" ht="15" customHeight="1">
      <c r="A147" s="29" t="s">
        <v>169</v>
      </c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0">
        <v>5000</v>
      </c>
      <c r="P147" s="19">
        <v>21050</v>
      </c>
      <c r="Q147" s="21" t="s">
        <v>166</v>
      </c>
    </row>
    <row r="148" spans="1:17" s="21" customFormat="1" ht="15" customHeight="1">
      <c r="A148" s="29" t="s">
        <v>170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0">
        <v>1300</v>
      </c>
      <c r="P148" s="19">
        <v>5564</v>
      </c>
      <c r="Q148" s="21" t="s">
        <v>171</v>
      </c>
    </row>
    <row r="149" spans="1:17" s="21" customFormat="1" ht="15" customHeight="1">
      <c r="A149" s="29" t="s">
        <v>172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0">
        <v>2500</v>
      </c>
      <c r="P149" s="19">
        <v>8500</v>
      </c>
      <c r="Q149" s="21" t="s">
        <v>161</v>
      </c>
    </row>
    <row r="150" spans="1:17" s="21" customFormat="1" ht="15" customHeight="1">
      <c r="A150" s="29" t="s">
        <v>173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0">
        <v>2500</v>
      </c>
      <c r="P150" s="19">
        <v>8500</v>
      </c>
      <c r="Q150" s="21" t="s">
        <v>161</v>
      </c>
    </row>
    <row r="151" spans="1:17" s="21" customFormat="1" ht="15" customHeight="1">
      <c r="A151" s="29" t="s">
        <v>174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0">
        <v>2000</v>
      </c>
      <c r="P151" s="19">
        <v>9060</v>
      </c>
      <c r="Q151" s="21" t="s">
        <v>157</v>
      </c>
    </row>
    <row r="152" spans="1:17" s="21" customFormat="1" ht="15" customHeight="1">
      <c r="A152" s="29" t="s">
        <v>175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0">
        <v>700</v>
      </c>
      <c r="P152" s="19">
        <v>4669</v>
      </c>
      <c r="Q152" s="21" t="s">
        <v>176</v>
      </c>
    </row>
    <row r="153" spans="1:17" s="21" customFormat="1" ht="15" customHeight="1">
      <c r="A153" s="29" t="s">
        <v>177</v>
      </c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0">
        <v>1000</v>
      </c>
      <c r="P153" s="19">
        <v>6780</v>
      </c>
      <c r="Q153" s="21" t="s">
        <v>176</v>
      </c>
    </row>
    <row r="154" spans="1:17" s="21" customFormat="1" ht="15" customHeight="1">
      <c r="A154" s="29" t="s">
        <v>178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0">
        <v>1600</v>
      </c>
      <c r="P154" s="19">
        <v>15088</v>
      </c>
    </row>
    <row r="155" spans="1:17" s="21" customFormat="1" ht="15" customHeight="1">
      <c r="A155" s="30" t="s">
        <v>179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20">
        <v>1000</v>
      </c>
      <c r="P155" s="19">
        <v>9280</v>
      </c>
    </row>
    <row r="156" spans="1:17" s="21" customFormat="1" ht="15" customHeight="1">
      <c r="A156" s="30" t="s">
        <v>180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20">
        <v>600</v>
      </c>
      <c r="P156" s="19">
        <v>5808</v>
      </c>
    </row>
    <row r="157" spans="1:17" s="21" customFormat="1" ht="15" customHeight="1" outlineLevel="5">
      <c r="A157" s="29" t="s">
        <v>181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0">
        <v>1100</v>
      </c>
      <c r="P157" s="19">
        <v>8690</v>
      </c>
      <c r="Q157" s="21" t="s">
        <v>176</v>
      </c>
    </row>
    <row r="158" spans="1:17" s="21" customFormat="1" ht="15" customHeight="1" outlineLevel="5">
      <c r="A158" s="29" t="s">
        <v>182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0">
        <v>1000</v>
      </c>
      <c r="P158" s="19">
        <v>7790</v>
      </c>
    </row>
    <row r="159" spans="1:17" s="21" customFormat="1" ht="15" customHeight="1" outlineLevel="5">
      <c r="A159" s="30" t="s">
        <v>171</v>
      </c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20">
        <v>300</v>
      </c>
      <c r="P159" s="19">
        <v>2190</v>
      </c>
    </row>
    <row r="160" spans="1:17" s="21" customFormat="1" ht="15" customHeight="1" outlineLevel="5">
      <c r="A160" s="30" t="s">
        <v>159</v>
      </c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20">
        <v>200</v>
      </c>
      <c r="P160" s="19">
        <v>1640</v>
      </c>
    </row>
    <row r="161" spans="1:17" s="21" customFormat="1" ht="15" customHeight="1" outlineLevel="5">
      <c r="A161" s="30" t="s">
        <v>183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20">
        <v>500</v>
      </c>
      <c r="P161" s="19">
        <v>3960</v>
      </c>
    </row>
    <row r="162" spans="1:17" s="21" customFormat="1" ht="15" customHeight="1" outlineLevel="5">
      <c r="A162" s="29" t="s">
        <v>184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0">
        <v>3400</v>
      </c>
      <c r="P162" s="19">
        <v>27102</v>
      </c>
    </row>
    <row r="163" spans="1:17" s="21" customFormat="1" ht="15" customHeight="1" outlineLevel="5">
      <c r="A163" s="30" t="s">
        <v>185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20">
        <v>400</v>
      </c>
      <c r="P163" s="19">
        <v>3252</v>
      </c>
    </row>
    <row r="164" spans="1:17" s="21" customFormat="1" ht="15" customHeight="1" outlineLevel="5">
      <c r="A164" s="30" t="s">
        <v>186</v>
      </c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20">
        <v>3000</v>
      </c>
      <c r="P164" s="19">
        <v>23850</v>
      </c>
    </row>
    <row r="165" spans="1:17" s="21" customFormat="1" ht="15" customHeight="1" outlineLevel="5">
      <c r="A165" s="29" t="s">
        <v>187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0">
        <v>400</v>
      </c>
      <c r="P165" s="19">
        <v>3252</v>
      </c>
      <c r="Q165" s="21" t="s">
        <v>185</v>
      </c>
    </row>
    <row r="166" spans="1:17" s="21" customFormat="1" ht="15" customHeight="1" outlineLevel="5">
      <c r="A166" s="29" t="s">
        <v>188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0">
        <v>1000</v>
      </c>
      <c r="P166" s="19">
        <v>6820</v>
      </c>
      <c r="Q166" s="21" t="s">
        <v>176</v>
      </c>
    </row>
    <row r="167" spans="1:17" s="21" customFormat="1" ht="15" customHeight="1" outlineLevel="5">
      <c r="A167" s="29" t="s">
        <v>189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0">
        <v>2000</v>
      </c>
      <c r="P167" s="19">
        <v>15857</v>
      </c>
    </row>
    <row r="168" spans="1:17" s="21" customFormat="1" ht="15" customHeight="1" outlineLevel="5">
      <c r="A168" s="30" t="s">
        <v>161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20">
        <v>1100</v>
      </c>
      <c r="P168" s="19">
        <v>8525</v>
      </c>
    </row>
    <row r="169" spans="1:17" s="21" customFormat="1" ht="15" customHeight="1" outlineLevel="5">
      <c r="A169" s="30" t="s">
        <v>190</v>
      </c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20">
        <v>600</v>
      </c>
      <c r="P169" s="19">
        <v>4884</v>
      </c>
    </row>
    <row r="170" spans="1:17" s="21" customFormat="1" ht="15" customHeight="1" outlineLevel="5">
      <c r="A170" s="30" t="s">
        <v>159</v>
      </c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20">
        <v>300</v>
      </c>
      <c r="P170" s="19">
        <v>2448</v>
      </c>
    </row>
    <row r="171" spans="1:17" s="21" customFormat="1" ht="15" customHeight="1" outlineLevel="5">
      <c r="A171" s="29" t="s">
        <v>191</v>
      </c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0">
        <v>700</v>
      </c>
      <c r="P171" s="19">
        <v>5593</v>
      </c>
      <c r="Q171" s="21" t="s">
        <v>164</v>
      </c>
    </row>
    <row r="172" spans="1:17" s="21" customFormat="1" ht="15" customHeight="1" outlineLevel="5">
      <c r="A172" s="29" t="s">
        <v>192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0">
        <v>500</v>
      </c>
      <c r="P172" s="19">
        <v>3395</v>
      </c>
      <c r="Q172" s="21" t="s">
        <v>171</v>
      </c>
    </row>
    <row r="173" spans="1:17" s="21" customFormat="1" ht="15" customHeight="1" outlineLevel="5">
      <c r="A173" s="29" t="s">
        <v>193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0">
        <v>2100</v>
      </c>
      <c r="P173" s="19">
        <v>16797</v>
      </c>
    </row>
    <row r="174" spans="1:17" s="21" customFormat="1" ht="15" customHeight="1" outlineLevel="5">
      <c r="A174" s="30" t="s">
        <v>171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20">
        <v>300</v>
      </c>
      <c r="P174" s="19">
        <v>2037</v>
      </c>
    </row>
    <row r="175" spans="1:17" s="21" customFormat="1" ht="15" customHeight="1" outlineLevel="5">
      <c r="A175" s="30" t="s">
        <v>190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20">
        <v>1800</v>
      </c>
      <c r="P175" s="19">
        <v>14760</v>
      </c>
    </row>
    <row r="176" spans="1:17" s="21" customFormat="1" ht="15" customHeight="1" outlineLevel="5">
      <c r="A176" s="29" t="s">
        <v>194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0">
        <v>5200</v>
      </c>
      <c r="P176" s="19">
        <v>42552</v>
      </c>
    </row>
    <row r="177" spans="1:17" s="21" customFormat="1" ht="15" customHeight="1" outlineLevel="5">
      <c r="A177" s="30" t="s">
        <v>161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20">
        <v>3200</v>
      </c>
      <c r="P177" s="19">
        <v>26112</v>
      </c>
    </row>
    <row r="178" spans="1:17" s="21" customFormat="1" ht="15" customHeight="1" outlineLevel="5">
      <c r="A178" s="30" t="s">
        <v>159</v>
      </c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20">
        <v>2000</v>
      </c>
      <c r="P178" s="19">
        <v>16440</v>
      </c>
    </row>
    <row r="179" spans="1:17" s="21" customFormat="1" ht="15" customHeight="1" outlineLevel="5">
      <c r="A179" s="29" t="s">
        <v>195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0">
        <v>2500</v>
      </c>
      <c r="P179" s="19">
        <v>5950</v>
      </c>
      <c r="Q179" s="21" t="s">
        <v>166</v>
      </c>
    </row>
    <row r="180" spans="1:17" s="21" customFormat="1" ht="15" customHeight="1" outlineLevel="5">
      <c r="A180" s="29" t="s">
        <v>196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0">
        <v>1200</v>
      </c>
      <c r="P180" s="19">
        <v>3564</v>
      </c>
      <c r="Q180" s="21" t="s">
        <v>180</v>
      </c>
    </row>
    <row r="181" spans="1:17" s="21" customFormat="1" ht="15" customHeight="1" outlineLevel="5">
      <c r="A181" s="29" t="s">
        <v>197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0">
        <v>500</v>
      </c>
      <c r="P181" s="19">
        <v>1495</v>
      </c>
      <c r="Q181" s="21" t="s">
        <v>198</v>
      </c>
    </row>
    <row r="182" spans="1:17" s="21" customFormat="1" ht="15" customHeight="1" outlineLevel="5">
      <c r="A182" s="29" t="s">
        <v>199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0">
        <v>3000</v>
      </c>
      <c r="P182" s="19">
        <v>11190</v>
      </c>
      <c r="Q182" s="21" t="s">
        <v>185</v>
      </c>
    </row>
    <row r="183" spans="1:17" s="21" customFormat="1" ht="15" customHeight="1" outlineLevel="5">
      <c r="A183" s="29" t="s">
        <v>200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0">
        <v>8975</v>
      </c>
      <c r="P183" s="19">
        <v>28232.75</v>
      </c>
    </row>
    <row r="184" spans="1:17" s="21" customFormat="1" ht="15" customHeight="1" outlineLevel="5">
      <c r="A184" s="30" t="s">
        <v>201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20">
        <v>4050</v>
      </c>
      <c r="P184" s="19">
        <v>11340</v>
      </c>
    </row>
    <row r="185" spans="1:17" s="21" customFormat="1" ht="15" customHeight="1" outlineLevel="5">
      <c r="A185" s="30" t="s">
        <v>157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20">
        <v>4925</v>
      </c>
      <c r="P185" s="19">
        <v>16892.75</v>
      </c>
    </row>
    <row r="186" spans="1:17" s="21" customFormat="1" ht="15" customHeight="1" outlineLevel="5">
      <c r="A186" s="29" t="s">
        <v>202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0">
        <v>2025</v>
      </c>
      <c r="P186" s="19">
        <v>5717.25</v>
      </c>
    </row>
    <row r="187" spans="1:17" s="21" customFormat="1" ht="15" customHeight="1" outlineLevel="5">
      <c r="A187" s="30" t="s">
        <v>201</v>
      </c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20">
        <v>1950</v>
      </c>
      <c r="P187" s="19">
        <v>5460</v>
      </c>
    </row>
    <row r="188" spans="1:17" s="21" customFormat="1" ht="15" customHeight="1" outlineLevel="5">
      <c r="A188" s="30" t="s">
        <v>157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20">
        <v>75</v>
      </c>
      <c r="P188" s="19">
        <v>257.25</v>
      </c>
    </row>
    <row r="189" spans="1:17" s="21" customFormat="1" ht="15" customHeight="1" outlineLevel="5">
      <c r="A189" s="29" t="s">
        <v>203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0">
        <v>500</v>
      </c>
      <c r="P189" s="19">
        <v>5100</v>
      </c>
      <c r="Q189" s="21" t="s">
        <v>183</v>
      </c>
    </row>
    <row r="190" spans="1:17" s="21" customFormat="1" ht="15" customHeight="1" outlineLevel="5">
      <c r="A190" s="29" t="s">
        <v>204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0">
        <v>1000</v>
      </c>
      <c r="P190" s="19">
        <v>9260</v>
      </c>
      <c r="Q190" s="21" t="s">
        <v>176</v>
      </c>
    </row>
    <row r="191" spans="1:17" s="21" customFormat="1" ht="15" customHeight="1" outlineLevel="5">
      <c r="A191" s="29" t="s">
        <v>205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0">
        <v>325</v>
      </c>
      <c r="P191" s="19">
        <v>3493.75</v>
      </c>
      <c r="Q191" s="21" t="s">
        <v>185</v>
      </c>
    </row>
    <row r="192" spans="1:17" s="21" customFormat="1" ht="15" customHeight="1" outlineLevel="5">
      <c r="A192" s="29" t="s">
        <v>206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0">
        <v>500</v>
      </c>
      <c r="P192" s="19">
        <v>5375</v>
      </c>
      <c r="Q192" s="21" t="s">
        <v>185</v>
      </c>
    </row>
    <row r="193" spans="1:17" s="21" customFormat="1" ht="15" customHeight="1" outlineLevel="5">
      <c r="A193" s="29" t="s">
        <v>207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0">
        <v>1175</v>
      </c>
      <c r="P193" s="19">
        <v>12631.25</v>
      </c>
      <c r="Q193" s="21" t="s">
        <v>185</v>
      </c>
    </row>
    <row r="194" spans="1:17" s="21" customFormat="1" ht="15" customHeight="1" outlineLevel="5">
      <c r="A194" s="29" t="s">
        <v>208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0">
        <v>10000</v>
      </c>
      <c r="P194" s="19">
        <v>35000</v>
      </c>
    </row>
    <row r="195" spans="1:17" s="21" customFormat="1" ht="15" customHeight="1" outlineLevel="5">
      <c r="A195" s="30" t="s">
        <v>209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20">
        <v>5000</v>
      </c>
      <c r="P195" s="19">
        <v>18750</v>
      </c>
    </row>
    <row r="196" spans="1:17" s="21" customFormat="1" ht="15" customHeight="1" outlineLevel="5">
      <c r="A196" s="30" t="s">
        <v>171</v>
      </c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20">
        <v>5000</v>
      </c>
      <c r="P196" s="19">
        <v>16250</v>
      </c>
    </row>
    <row r="197" spans="1:17" s="21" customFormat="1" ht="15" customHeight="1" outlineLevel="5">
      <c r="A197" s="29" t="s">
        <v>210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0">
        <v>500</v>
      </c>
      <c r="P197" s="19">
        <v>11290</v>
      </c>
      <c r="Q197" s="21" t="s">
        <v>201</v>
      </c>
    </row>
    <row r="198" spans="1:17" s="21" customFormat="1" ht="15" customHeight="1" outlineLevel="5">
      <c r="A198" s="29" t="s">
        <v>211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0">
        <v>1000</v>
      </c>
      <c r="P198" s="19">
        <v>26690</v>
      </c>
      <c r="Q198" s="21" t="s">
        <v>212</v>
      </c>
    </row>
    <row r="199" spans="1:17" s="21" customFormat="1" ht="15" customHeight="1" outlineLevel="5">
      <c r="A199" s="29" t="s">
        <v>213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0">
        <v>4000</v>
      </c>
      <c r="P199" s="19">
        <v>14877.84</v>
      </c>
      <c r="Q199" s="21" t="s">
        <v>214</v>
      </c>
    </row>
    <row r="200" spans="1:17" s="21" customFormat="1" ht="15" customHeight="1" outlineLevel="5">
      <c r="A200" s="29" t="s">
        <v>215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0">
        <v>2000</v>
      </c>
      <c r="P200" s="19">
        <v>5791.81</v>
      </c>
      <c r="Q200" s="21" t="s">
        <v>214</v>
      </c>
    </row>
    <row r="201" spans="1:17" s="21" customFormat="1" ht="15" customHeight="1" outlineLevel="4">
      <c r="A201" s="29" t="s">
        <v>142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0">
        <v>25700</v>
      </c>
      <c r="P201" s="19">
        <v>209425</v>
      </c>
    </row>
    <row r="202" spans="1:17" s="21" customFormat="1" ht="15" customHeight="1" outlineLevel="4">
      <c r="A202" s="30" t="s">
        <v>166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20">
        <v>4000</v>
      </c>
      <c r="P202" s="19">
        <v>30400</v>
      </c>
    </row>
    <row r="203" spans="1:17" s="21" customFormat="1" ht="15" customHeight="1" outlineLevel="4">
      <c r="A203" s="30" t="s">
        <v>157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20">
        <v>10000</v>
      </c>
      <c r="P203" s="19">
        <v>82500</v>
      </c>
    </row>
    <row r="204" spans="1:17" s="21" customFormat="1" ht="15" customHeight="1" outlineLevel="4">
      <c r="A204" s="30" t="s">
        <v>186</v>
      </c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20">
        <v>3000</v>
      </c>
      <c r="P204" s="19">
        <v>24750</v>
      </c>
    </row>
    <row r="205" spans="1:17" s="21" customFormat="1" ht="15" customHeight="1" outlineLevel="4">
      <c r="A205" s="30" t="s">
        <v>180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20">
        <v>8700</v>
      </c>
      <c r="P205" s="19">
        <v>71775</v>
      </c>
    </row>
    <row r="206" spans="1:17" s="21" customFormat="1" ht="15" customHeight="1" outlineLevel="4">
      <c r="A206" s="29" t="s">
        <v>144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0">
        <v>4800</v>
      </c>
      <c r="P206" s="19">
        <v>46910</v>
      </c>
    </row>
    <row r="207" spans="1:17" s="21" customFormat="1" ht="15" customHeight="1" outlineLevel="4">
      <c r="A207" s="30" t="s">
        <v>186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20">
        <v>3000</v>
      </c>
      <c r="P207" s="19">
        <v>29400</v>
      </c>
    </row>
    <row r="208" spans="1:17" s="21" customFormat="1" ht="15" customHeight="1" outlineLevel="4">
      <c r="A208" s="30" t="s">
        <v>159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20">
        <v>300</v>
      </c>
      <c r="P208" s="19">
        <v>2940</v>
      </c>
    </row>
    <row r="209" spans="1:16" s="21" customFormat="1" ht="15" customHeight="1" outlineLevel="4">
      <c r="A209" s="30" t="s">
        <v>216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20">
        <v>1000</v>
      </c>
      <c r="P209" s="19">
        <v>9600</v>
      </c>
    </row>
    <row r="210" spans="1:16" s="21" customFormat="1" ht="15" customHeight="1" outlineLevel="4">
      <c r="A210" s="30" t="s">
        <v>180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20">
        <v>500</v>
      </c>
      <c r="P210" s="19">
        <v>4970</v>
      </c>
    </row>
    <row r="211" spans="1:16" s="21" customFormat="1" ht="15" customHeight="1" outlineLevel="5">
      <c r="A211" s="29" t="s">
        <v>217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0">
        <v>4450</v>
      </c>
      <c r="P211" s="19">
        <v>18823.5</v>
      </c>
    </row>
    <row r="212" spans="1:16" s="21" customFormat="1" ht="15" customHeight="1" outlineLevel="5">
      <c r="A212" s="30" t="s">
        <v>163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20">
        <v>750</v>
      </c>
      <c r="P212" s="19">
        <v>3172.5</v>
      </c>
    </row>
    <row r="213" spans="1:16" s="21" customFormat="1" ht="15" customHeight="1" outlineLevel="5">
      <c r="A213" s="30" t="s">
        <v>218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20">
        <v>2000</v>
      </c>
      <c r="P213" s="19">
        <v>8460</v>
      </c>
    </row>
    <row r="214" spans="1:16" s="21" customFormat="1" ht="15" customHeight="1" outlineLevel="5">
      <c r="A214" s="30" t="s">
        <v>179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20">
        <v>1700</v>
      </c>
      <c r="P214" s="19">
        <v>7191</v>
      </c>
    </row>
    <row r="215" spans="1:16" s="21" customFormat="1" ht="15" customHeight="1" outlineLevel="5">
      <c r="A215" s="29" t="s">
        <v>153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0">
        <v>3700</v>
      </c>
      <c r="P215" s="19">
        <v>67304</v>
      </c>
    </row>
    <row r="216" spans="1:16" s="21" customFormat="1" ht="15" customHeight="1" outlineLevel="5">
      <c r="A216" s="30" t="s">
        <v>201</v>
      </c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20">
        <v>500</v>
      </c>
      <c r="P216" s="19">
        <v>9275</v>
      </c>
    </row>
    <row r="217" spans="1:16" s="6" customFormat="1" ht="15" customHeight="1" outlineLevel="5">
      <c r="A217" s="32" t="s">
        <v>166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7">
        <v>700</v>
      </c>
      <c r="P217" s="5">
        <v>12539</v>
      </c>
    </row>
    <row r="218" spans="1:16" s="6" customFormat="1" ht="15" customHeight="1" outlineLevel="5">
      <c r="A218" s="32" t="s">
        <v>157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7">
        <v>1000</v>
      </c>
      <c r="P218" s="5">
        <v>18550</v>
      </c>
    </row>
    <row r="219" spans="1:16" s="6" customFormat="1" ht="15" customHeight="1" outlineLevel="5">
      <c r="A219" s="32" t="s">
        <v>219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7">
        <v>1500</v>
      </c>
      <c r="P219" s="5">
        <v>26940</v>
      </c>
    </row>
    <row r="220" spans="1:16" s="6" customFormat="1" ht="15" customHeight="1">
      <c r="A220" s="26" t="s">
        <v>220</v>
      </c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">
        <v>12000</v>
      </c>
      <c r="P220" s="3">
        <v>39350</v>
      </c>
    </row>
    <row r="221" spans="1:16" s="6" customFormat="1" ht="15" customHeight="1" outlineLevel="5">
      <c r="A221" s="28" t="s">
        <v>221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7">
        <v>5000</v>
      </c>
      <c r="P221" s="5">
        <v>19750</v>
      </c>
    </row>
    <row r="222" spans="1:16" s="6" customFormat="1" ht="15" customHeight="1" outlineLevel="5">
      <c r="A222" s="28" t="s">
        <v>222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7">
        <v>2000</v>
      </c>
      <c r="P222" s="5">
        <v>7900</v>
      </c>
    </row>
    <row r="223" spans="1:16" s="6" customFormat="1" ht="15" customHeight="1" outlineLevel="5">
      <c r="A223" s="28" t="s">
        <v>82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7">
        <v>5000</v>
      </c>
      <c r="P223" s="5">
        <v>11700</v>
      </c>
    </row>
    <row r="224" spans="1:16" s="6" customFormat="1" ht="15" customHeight="1">
      <c r="A224" s="26" t="s">
        <v>223</v>
      </c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">
        <v>11100</v>
      </c>
      <c r="P224" s="3">
        <v>38828</v>
      </c>
    </row>
    <row r="225" spans="1:16" s="6" customFormat="1" ht="15" customHeight="1" outlineLevel="5">
      <c r="A225" s="28" t="s">
        <v>224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7">
        <v>4000</v>
      </c>
      <c r="P225" s="5">
        <v>13800</v>
      </c>
    </row>
    <row r="226" spans="1:16" s="6" customFormat="1" ht="15" customHeight="1" outlineLevel="5">
      <c r="A226" s="28" t="s">
        <v>225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4">
        <v>600</v>
      </c>
      <c r="P226" s="5">
        <v>4038</v>
      </c>
    </row>
    <row r="227" spans="1:16" s="6" customFormat="1" ht="15" customHeight="1" outlineLevel="5">
      <c r="A227" s="28" t="s">
        <v>226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4">
        <v>500</v>
      </c>
      <c r="P227" s="5">
        <v>1490</v>
      </c>
    </row>
    <row r="228" spans="1:16" s="6" customFormat="1" ht="15" customHeight="1" outlineLevel="5">
      <c r="A228" s="28" t="s">
        <v>227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7">
        <v>6000</v>
      </c>
      <c r="P228" s="5">
        <v>19500</v>
      </c>
    </row>
    <row r="229" spans="1:16" s="6" customFormat="1" ht="15" customHeight="1">
      <c r="A229" s="26" t="s">
        <v>228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8">
        <v>25</v>
      </c>
      <c r="P229" s="3">
        <v>4460.5</v>
      </c>
    </row>
    <row r="230" spans="1:16" s="6" customFormat="1" ht="15" customHeight="1" outlineLevel="4">
      <c r="A230" s="27" t="s">
        <v>147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4">
        <v>25</v>
      </c>
      <c r="P230" s="5">
        <v>4460.5</v>
      </c>
    </row>
    <row r="231" spans="1:16" s="6" customFormat="1" ht="15" customHeight="1">
      <c r="A231" s="26" t="s">
        <v>229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8">
        <v>75</v>
      </c>
      <c r="P231" s="3">
        <v>13381.5</v>
      </c>
    </row>
    <row r="232" spans="1:16" s="6" customFormat="1" ht="15" customHeight="1" outlineLevel="4">
      <c r="A232" s="27" t="s">
        <v>147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4">
        <v>75</v>
      </c>
      <c r="P232" s="5">
        <v>13381.5</v>
      </c>
    </row>
    <row r="233" spans="1:16" s="6" customFormat="1" ht="15" customHeight="1">
      <c r="A233" s="26" t="s">
        <v>230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">
        <v>10000</v>
      </c>
      <c r="P233" s="3">
        <v>17500</v>
      </c>
    </row>
    <row r="234" spans="1:16" s="6" customFormat="1" ht="15" customHeight="1" outlineLevel="5">
      <c r="A234" s="28" t="s">
        <v>231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7">
        <v>10000</v>
      </c>
      <c r="P234" s="5">
        <v>17500</v>
      </c>
    </row>
    <row r="235" spans="1:16" s="6" customFormat="1" ht="15" customHeight="1">
      <c r="A235" s="26" t="s">
        <v>232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">
        <v>4000</v>
      </c>
      <c r="P235" s="3">
        <v>28200</v>
      </c>
    </row>
    <row r="236" spans="1:16" s="6" customFormat="1" ht="15" customHeight="1" outlineLevel="4">
      <c r="A236" s="27" t="s">
        <v>233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7">
        <v>4000</v>
      </c>
      <c r="P236" s="5">
        <v>28200</v>
      </c>
    </row>
    <row r="237" spans="1:16" s="6" customFormat="1" ht="15" customHeight="1">
      <c r="A237" s="26" t="s">
        <v>234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">
        <v>3500</v>
      </c>
      <c r="P237" s="3">
        <v>15650</v>
      </c>
    </row>
    <row r="238" spans="1:16" s="6" customFormat="1" ht="15" customHeight="1" outlineLevel="5">
      <c r="A238" s="28" t="s">
        <v>235</v>
      </c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7">
        <v>1000</v>
      </c>
      <c r="P238" s="5">
        <v>3960</v>
      </c>
    </row>
    <row r="239" spans="1:16" s="6" customFormat="1" ht="15" customHeight="1" outlineLevel="5">
      <c r="A239" s="28" t="s">
        <v>236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7">
        <v>1000</v>
      </c>
      <c r="P239" s="5">
        <v>3960</v>
      </c>
    </row>
    <row r="240" spans="1:16" s="6" customFormat="1" ht="15" customHeight="1" outlineLevel="5">
      <c r="A240" s="28" t="s">
        <v>237</v>
      </c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7">
        <v>1000</v>
      </c>
      <c r="P240" s="5">
        <v>3500</v>
      </c>
    </row>
    <row r="241" spans="1:16" s="6" customFormat="1" ht="15" customHeight="1" outlineLevel="4">
      <c r="A241" s="27" t="s">
        <v>238</v>
      </c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4">
        <v>500</v>
      </c>
      <c r="P241" s="5">
        <v>4230</v>
      </c>
    </row>
    <row r="242" spans="1:16" s="6" customFormat="1" ht="15" customHeight="1">
      <c r="A242" s="26" t="s">
        <v>239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">
        <v>8400</v>
      </c>
      <c r="P242" s="3">
        <v>65341.25</v>
      </c>
    </row>
    <row r="243" spans="1:16" s="6" customFormat="1" ht="15" customHeight="1" outlineLevel="5">
      <c r="A243" s="28" t="s">
        <v>236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7">
        <v>5000</v>
      </c>
      <c r="P243" s="5">
        <v>19800</v>
      </c>
    </row>
    <row r="244" spans="1:16" s="6" customFormat="1" ht="15" customHeight="1" outlineLevel="5">
      <c r="A244" s="28" t="s">
        <v>237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7">
        <v>1000</v>
      </c>
      <c r="P244" s="5">
        <v>3500</v>
      </c>
    </row>
    <row r="245" spans="1:16" s="6" customFormat="1" ht="15" customHeight="1" outlineLevel="5">
      <c r="A245" s="28" t="s">
        <v>100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7">
        <v>1000</v>
      </c>
      <c r="P245" s="5">
        <v>7300</v>
      </c>
    </row>
    <row r="246" spans="1:16" s="6" customFormat="1" ht="15" customHeight="1" outlineLevel="5">
      <c r="A246" s="27" t="s">
        <v>240</v>
      </c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7">
        <v>850</v>
      </c>
      <c r="P246" s="5">
        <v>20987</v>
      </c>
    </row>
    <row r="247" spans="1:16" s="6" customFormat="1" ht="15" customHeight="1" outlineLevel="4">
      <c r="A247" s="27" t="s">
        <v>144</v>
      </c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4">
        <v>400</v>
      </c>
      <c r="P247" s="5">
        <v>3320</v>
      </c>
    </row>
    <row r="248" spans="1:16" s="6" customFormat="1" ht="15" customHeight="1" outlineLevel="4">
      <c r="A248" s="27" t="s">
        <v>147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4">
        <v>25</v>
      </c>
      <c r="P248" s="5">
        <v>4460.5</v>
      </c>
    </row>
    <row r="249" spans="1:16" s="6" customFormat="1" ht="15" customHeight="1" outlineLevel="5">
      <c r="A249" s="28" t="s">
        <v>42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4">
        <v>125</v>
      </c>
      <c r="P249" s="5">
        <v>5973.75</v>
      </c>
    </row>
    <row r="250" spans="1:16" s="6" customFormat="1" ht="15" customHeight="1">
      <c r="A250" s="26" t="s">
        <v>241</v>
      </c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">
        <v>2000</v>
      </c>
      <c r="P250" s="3">
        <v>3200</v>
      </c>
    </row>
    <row r="251" spans="1:16" s="6" customFormat="1" ht="15" customHeight="1" outlineLevel="6">
      <c r="A251" s="27" t="s">
        <v>242</v>
      </c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7">
        <v>2000</v>
      </c>
      <c r="P251" s="5">
        <v>3200</v>
      </c>
    </row>
    <row r="252" spans="1:16" s="6" customFormat="1" ht="15" customHeight="1">
      <c r="A252" s="26" t="s">
        <v>243</v>
      </c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">
        <v>1000</v>
      </c>
      <c r="P252" s="3">
        <v>15460</v>
      </c>
    </row>
    <row r="253" spans="1:16" s="6" customFormat="1" ht="15" customHeight="1" outlineLevel="5">
      <c r="A253" s="28" t="s">
        <v>27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7">
        <v>1000</v>
      </c>
      <c r="P253" s="5">
        <v>15460</v>
      </c>
    </row>
    <row r="254" spans="1:16" s="6" customFormat="1" ht="15" customHeight="1">
      <c r="A254" s="26" t="s">
        <v>244</v>
      </c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">
        <v>4900</v>
      </c>
      <c r="P254" s="3">
        <v>24823</v>
      </c>
    </row>
    <row r="255" spans="1:16" s="6" customFormat="1" ht="15" customHeight="1" outlineLevel="5">
      <c r="A255" s="28" t="s">
        <v>245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7">
        <v>1600</v>
      </c>
      <c r="P255" s="5">
        <v>11680</v>
      </c>
    </row>
    <row r="256" spans="1:16" s="6" customFormat="1" ht="15" customHeight="1" outlineLevel="4">
      <c r="A256" s="27" t="s">
        <v>144</v>
      </c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4">
        <v>300</v>
      </c>
      <c r="P256" s="5">
        <v>2553</v>
      </c>
    </row>
    <row r="257" spans="1:16" s="6" customFormat="1" ht="15" customHeight="1" outlineLevel="5">
      <c r="A257" s="28" t="s">
        <v>11</v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7">
        <v>3000</v>
      </c>
      <c r="P257" s="5">
        <v>10590</v>
      </c>
    </row>
    <row r="258" spans="1:16" s="6" customFormat="1" ht="15" customHeight="1">
      <c r="A258" s="26" t="s">
        <v>246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">
        <v>7000</v>
      </c>
      <c r="P258" s="3">
        <v>30720</v>
      </c>
    </row>
    <row r="259" spans="1:16" s="6" customFormat="1" ht="15" customHeight="1" outlineLevel="5">
      <c r="A259" s="28" t="s">
        <v>247</v>
      </c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7">
        <v>6000</v>
      </c>
      <c r="P259" s="5">
        <v>28020</v>
      </c>
    </row>
    <row r="260" spans="1:16" s="6" customFormat="1" ht="15" customHeight="1" outlineLevel="5">
      <c r="A260" s="28" t="s">
        <v>248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7">
        <v>1000</v>
      </c>
      <c r="P260" s="5">
        <v>2700</v>
      </c>
    </row>
    <row r="261" spans="1:16" s="6" customFormat="1" ht="15" customHeight="1">
      <c r="A261" s="26" t="s">
        <v>249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8">
        <v>3</v>
      </c>
      <c r="P261" s="11">
        <v>553.83000000000004</v>
      </c>
    </row>
    <row r="262" spans="1:16" s="6" customFormat="1" ht="15" customHeight="1" outlineLevel="4">
      <c r="A262" s="27" t="s">
        <v>147</v>
      </c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4">
        <v>3</v>
      </c>
      <c r="P262" s="9">
        <v>553.83000000000004</v>
      </c>
    </row>
    <row r="263" spans="1:16" s="6" customFormat="1" ht="15" customHeight="1">
      <c r="A263" s="26" t="s">
        <v>250</v>
      </c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">
        <v>16950</v>
      </c>
      <c r="P263" s="3">
        <v>113937.5</v>
      </c>
    </row>
    <row r="264" spans="1:16" s="6" customFormat="1" ht="15" customHeight="1" outlineLevel="5">
      <c r="A264" s="28" t="s">
        <v>251</v>
      </c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7">
        <v>3000</v>
      </c>
      <c r="P264" s="5">
        <v>10620</v>
      </c>
    </row>
    <row r="265" spans="1:16" s="6" customFormat="1" ht="15" customHeight="1" outlineLevel="5">
      <c r="A265" s="28" t="s">
        <v>252</v>
      </c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7">
        <v>3500</v>
      </c>
      <c r="P265" s="5">
        <v>12390</v>
      </c>
    </row>
    <row r="266" spans="1:16" s="6" customFormat="1" ht="15" customHeight="1" outlineLevel="5">
      <c r="A266" s="28" t="s">
        <v>253</v>
      </c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7">
        <v>1500</v>
      </c>
      <c r="P266" s="5">
        <v>23115</v>
      </c>
    </row>
    <row r="267" spans="1:16" s="6" customFormat="1" ht="15" customHeight="1" outlineLevel="5">
      <c r="A267" s="28" t="s">
        <v>254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7">
        <v>1000</v>
      </c>
      <c r="P267" s="5">
        <v>5200</v>
      </c>
    </row>
    <row r="268" spans="1:16" s="6" customFormat="1" ht="15" customHeight="1" outlineLevel="5">
      <c r="A268" s="28" t="s">
        <v>255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4">
        <v>500</v>
      </c>
      <c r="P268" s="5">
        <v>1775</v>
      </c>
    </row>
    <row r="269" spans="1:16" s="6" customFormat="1" ht="15" customHeight="1" outlineLevel="4">
      <c r="A269" s="27" t="s">
        <v>233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7">
        <v>6700</v>
      </c>
      <c r="P269" s="5">
        <v>52260</v>
      </c>
    </row>
    <row r="270" spans="1:16" s="6" customFormat="1" ht="15" customHeight="1" outlineLevel="4">
      <c r="A270" s="29" t="s">
        <v>238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0">
        <v>250</v>
      </c>
      <c r="P270" s="19">
        <v>2052.5</v>
      </c>
    </row>
    <row r="271" spans="1:16" s="6" customFormat="1" ht="15" customHeight="1" outlineLevel="5">
      <c r="A271" s="31" t="s">
        <v>27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18">
        <v>500</v>
      </c>
      <c r="P271" s="19">
        <v>6525</v>
      </c>
    </row>
    <row r="272" spans="1:16" s="6" customFormat="1" ht="15" customHeight="1">
      <c r="A272" s="26" t="s">
        <v>256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">
        <v>11200</v>
      </c>
      <c r="P272" s="3">
        <v>45152</v>
      </c>
    </row>
    <row r="273" spans="1:16" s="6" customFormat="1" ht="15" customHeight="1" outlineLevel="5">
      <c r="A273" s="28" t="s">
        <v>257</v>
      </c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7">
        <v>2000</v>
      </c>
      <c r="P273" s="5">
        <v>3500</v>
      </c>
    </row>
    <row r="274" spans="1:16" s="6" customFormat="1" ht="15" customHeight="1" outlineLevel="5">
      <c r="A274" s="28" t="s">
        <v>258</v>
      </c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7">
        <v>2000</v>
      </c>
      <c r="P274" s="5">
        <v>6900</v>
      </c>
    </row>
    <row r="275" spans="1:16" s="6" customFormat="1" ht="15" customHeight="1" outlineLevel="5">
      <c r="A275" s="27" t="s">
        <v>259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7">
        <v>5000</v>
      </c>
      <c r="P275" s="5">
        <v>17000</v>
      </c>
    </row>
    <row r="276" spans="1:16" s="6" customFormat="1" ht="15" customHeight="1" outlineLevel="4">
      <c r="A276" s="27" t="s">
        <v>260</v>
      </c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7">
        <v>2000</v>
      </c>
      <c r="P276" s="5">
        <v>14660</v>
      </c>
    </row>
    <row r="277" spans="1:16" s="6" customFormat="1" ht="15" customHeight="1" outlineLevel="5">
      <c r="A277" s="28" t="s">
        <v>27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4">
        <v>200</v>
      </c>
      <c r="P277" s="5">
        <v>3092</v>
      </c>
    </row>
    <row r="278" spans="1:16" s="6" customFormat="1" ht="15" customHeight="1">
      <c r="A278" s="26" t="s">
        <v>261</v>
      </c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">
        <v>4500</v>
      </c>
      <c r="P278" s="3">
        <v>25950</v>
      </c>
    </row>
    <row r="279" spans="1:16" s="6" customFormat="1" ht="15" customHeight="1">
      <c r="A279" s="27" t="s">
        <v>262</v>
      </c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7">
        <v>1500</v>
      </c>
      <c r="P279" s="5">
        <v>5100</v>
      </c>
    </row>
    <row r="280" spans="1:16" s="6" customFormat="1" ht="15" customHeight="1" outlineLevel="4">
      <c r="A280" s="27" t="s">
        <v>142</v>
      </c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7">
        <v>3000</v>
      </c>
      <c r="P280" s="5">
        <v>20850</v>
      </c>
    </row>
    <row r="281" spans="1:16" s="6" customFormat="1" ht="15" customHeight="1">
      <c r="A281" s="26" t="s">
        <v>263</v>
      </c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">
        <v>1000</v>
      </c>
      <c r="P281" s="3">
        <v>2980</v>
      </c>
    </row>
    <row r="282" spans="1:16" s="6" customFormat="1" ht="15" customHeight="1" outlineLevel="5">
      <c r="A282" s="28" t="s">
        <v>264</v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7">
        <v>1000</v>
      </c>
      <c r="P282" s="5">
        <v>2980</v>
      </c>
    </row>
    <row r="283" spans="1:16" s="6" customFormat="1" ht="15" customHeight="1">
      <c r="A283" s="26" t="s">
        <v>265</v>
      </c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">
        <v>26200</v>
      </c>
      <c r="P283" s="3">
        <v>325790</v>
      </c>
    </row>
    <row r="284" spans="1:16" s="6" customFormat="1" ht="15" customHeight="1" outlineLevel="5">
      <c r="A284" s="28" t="s">
        <v>266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7">
        <v>2000</v>
      </c>
      <c r="P284" s="5">
        <v>17200</v>
      </c>
    </row>
    <row r="285" spans="1:16" s="6" customFormat="1" ht="15" customHeight="1" outlineLevel="5">
      <c r="A285" s="28" t="s">
        <v>267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7">
        <v>2000</v>
      </c>
      <c r="P285" s="5">
        <v>17200</v>
      </c>
    </row>
    <row r="286" spans="1:16" s="6" customFormat="1" ht="15" customHeight="1" outlineLevel="5">
      <c r="A286" s="28" t="s">
        <v>268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7">
        <v>2000</v>
      </c>
      <c r="P286" s="5">
        <v>32660</v>
      </c>
    </row>
    <row r="287" spans="1:16" s="6" customFormat="1" ht="15" customHeight="1" outlineLevel="5">
      <c r="A287" s="28" t="s">
        <v>269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7">
        <v>2000</v>
      </c>
      <c r="P287" s="5">
        <v>32660</v>
      </c>
    </row>
    <row r="288" spans="1:16" s="6" customFormat="1" ht="15" customHeight="1" outlineLevel="5">
      <c r="A288" s="28" t="s">
        <v>270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7">
        <v>2000</v>
      </c>
      <c r="P288" s="5">
        <v>32660</v>
      </c>
    </row>
    <row r="289" spans="1:16" s="6" customFormat="1" ht="15" customHeight="1" outlineLevel="5">
      <c r="A289" s="28" t="s">
        <v>271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7">
        <v>6000</v>
      </c>
      <c r="P289" s="5">
        <v>82500</v>
      </c>
    </row>
    <row r="290" spans="1:16" s="6" customFormat="1" ht="15" customHeight="1" outlineLevel="5">
      <c r="A290" s="28" t="s">
        <v>272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7">
        <v>5000</v>
      </c>
      <c r="P290" s="5">
        <v>68750</v>
      </c>
    </row>
    <row r="291" spans="1:16" s="6" customFormat="1" ht="15" customHeight="1" outlineLevel="5">
      <c r="A291" s="28" t="s">
        <v>273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7">
        <v>1100</v>
      </c>
      <c r="P291" s="5">
        <v>8030</v>
      </c>
    </row>
    <row r="292" spans="1:16" s="6" customFormat="1" ht="15" customHeight="1" outlineLevel="5">
      <c r="A292" s="28" t="s">
        <v>100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7">
        <v>2900</v>
      </c>
      <c r="P292" s="5">
        <v>21170</v>
      </c>
    </row>
    <row r="293" spans="1:16" s="6" customFormat="1" ht="15" customHeight="1" outlineLevel="4">
      <c r="A293" s="27" t="s">
        <v>144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4">
        <v>800</v>
      </c>
      <c r="P293" s="5">
        <v>6536</v>
      </c>
    </row>
    <row r="294" spans="1:16" s="6" customFormat="1" ht="15" customHeight="1" outlineLevel="4">
      <c r="A294" s="27" t="s">
        <v>274</v>
      </c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4">
        <v>400</v>
      </c>
      <c r="P294" s="5">
        <v>6424</v>
      </c>
    </row>
    <row r="295" spans="1:16" s="6" customFormat="1" ht="15" customHeight="1">
      <c r="A295" s="26" t="s">
        <v>275</v>
      </c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">
        <v>4000</v>
      </c>
      <c r="P295" s="3">
        <v>28800</v>
      </c>
    </row>
    <row r="296" spans="1:16" s="6" customFormat="1" ht="15" customHeight="1" outlineLevel="4">
      <c r="A296" s="27" t="s">
        <v>142</v>
      </c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7">
        <v>4000</v>
      </c>
      <c r="P296" s="5">
        <v>28800</v>
      </c>
    </row>
    <row r="297" spans="1:16" s="6" customFormat="1" ht="15" customHeight="1">
      <c r="A297" s="26" t="s">
        <v>276</v>
      </c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">
        <v>5000</v>
      </c>
      <c r="P297" s="3">
        <v>71500</v>
      </c>
    </row>
    <row r="298" spans="1:16" s="6" customFormat="1" ht="15" customHeight="1" outlineLevel="5">
      <c r="A298" s="28" t="s">
        <v>27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7">
        <v>5000</v>
      </c>
      <c r="P298" s="5">
        <v>71500</v>
      </c>
    </row>
    <row r="299" spans="1:16" s="6" customFormat="1" ht="15" customHeight="1">
      <c r="A299" s="26" t="s">
        <v>277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">
        <v>47850</v>
      </c>
      <c r="P299" s="3">
        <v>122844.5</v>
      </c>
    </row>
    <row r="300" spans="1:16" s="6" customFormat="1" ht="15" customHeight="1" outlineLevel="5">
      <c r="A300" s="28" t="s">
        <v>278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7">
        <v>1300</v>
      </c>
      <c r="P300" s="5">
        <v>8671</v>
      </c>
    </row>
    <row r="301" spans="1:16" s="6" customFormat="1" ht="15" customHeight="1" outlineLevel="5">
      <c r="A301" s="28" t="s">
        <v>279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7">
        <v>1300</v>
      </c>
      <c r="P301" s="5">
        <v>8671</v>
      </c>
    </row>
    <row r="302" spans="1:16" s="6" customFormat="1" ht="15" customHeight="1" outlineLevel="5">
      <c r="A302" s="28" t="s">
        <v>280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7">
        <v>4000</v>
      </c>
      <c r="P302" s="5">
        <v>10480</v>
      </c>
    </row>
    <row r="303" spans="1:16" s="6" customFormat="1" ht="15" customHeight="1" outlineLevel="5">
      <c r="A303" s="28" t="s">
        <v>281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7">
        <v>3250</v>
      </c>
      <c r="P303" s="5">
        <v>8515</v>
      </c>
    </row>
    <row r="304" spans="1:16" s="6" customFormat="1" ht="15" customHeight="1" outlineLevel="5">
      <c r="A304" s="28" t="s">
        <v>282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7">
        <v>1550</v>
      </c>
      <c r="P304" s="5">
        <v>3611.5</v>
      </c>
    </row>
    <row r="305" spans="1:16" s="6" customFormat="1" ht="15" customHeight="1" outlineLevel="5">
      <c r="A305" s="28" t="s">
        <v>283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7">
        <v>1550</v>
      </c>
      <c r="P305" s="5">
        <v>4030</v>
      </c>
    </row>
    <row r="306" spans="1:16" s="6" customFormat="1" ht="15" customHeight="1" outlineLevel="5">
      <c r="A306" s="28" t="s">
        <v>284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7">
        <v>4350</v>
      </c>
      <c r="P306" s="5">
        <v>10179</v>
      </c>
    </row>
    <row r="307" spans="1:16" s="6" customFormat="1" ht="15" customHeight="1" outlineLevel="5">
      <c r="A307" s="28" t="s">
        <v>82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7">
        <v>16550</v>
      </c>
      <c r="P307" s="5">
        <v>38727</v>
      </c>
    </row>
    <row r="308" spans="1:16" s="6" customFormat="1" ht="15" customHeight="1" outlineLevel="5">
      <c r="A308" s="28" t="s">
        <v>285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7">
        <v>14000</v>
      </c>
      <c r="P308" s="5">
        <v>29960</v>
      </c>
    </row>
    <row r="309" spans="1:16" s="6" customFormat="1" ht="15" customHeight="1" outlineLevel="5">
      <c r="A309" s="26" t="s">
        <v>286</v>
      </c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">
        <v>600</v>
      </c>
      <c r="P309" s="3">
        <v>9984</v>
      </c>
    </row>
    <row r="310" spans="1:16" s="6" customFormat="1" ht="15" customHeight="1" outlineLevel="5">
      <c r="A310" s="28" t="s">
        <v>48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7">
        <v>600</v>
      </c>
      <c r="P310" s="5">
        <v>9984</v>
      </c>
    </row>
    <row r="311" spans="1:16" s="6" customFormat="1" ht="15" customHeight="1">
      <c r="A311" s="26" t="s">
        <v>287</v>
      </c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8">
        <v>50</v>
      </c>
      <c r="P311" s="3">
        <v>8921</v>
      </c>
    </row>
    <row r="312" spans="1:16" s="6" customFormat="1" ht="15" customHeight="1" outlineLevel="4">
      <c r="A312" s="27" t="s">
        <v>147</v>
      </c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4">
        <v>50</v>
      </c>
      <c r="P312" s="5">
        <v>8921</v>
      </c>
    </row>
    <row r="313" spans="1:16" s="6" customFormat="1" ht="15" customHeight="1">
      <c r="A313" s="26" t="s">
        <v>288</v>
      </c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">
        <v>13006</v>
      </c>
      <c r="P313" s="3">
        <v>84447.66</v>
      </c>
    </row>
    <row r="314" spans="1:16" s="6" customFormat="1" ht="15" customHeight="1" outlineLevel="5">
      <c r="A314" s="28" t="s">
        <v>289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7">
        <v>5000</v>
      </c>
      <c r="P314" s="5">
        <v>44500</v>
      </c>
    </row>
    <row r="315" spans="1:16" s="6" customFormat="1" ht="15" customHeight="1" outlineLevel="5">
      <c r="A315" s="28" t="s">
        <v>290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7">
        <v>1000</v>
      </c>
      <c r="P315" s="5">
        <v>8900</v>
      </c>
    </row>
    <row r="316" spans="1:16" s="6" customFormat="1" ht="15" customHeight="1" outlineLevel="5">
      <c r="A316" s="28" t="s">
        <v>291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4">
        <v>500</v>
      </c>
      <c r="P316" s="5">
        <v>4700</v>
      </c>
    </row>
    <row r="317" spans="1:16" s="6" customFormat="1" ht="15" customHeight="1" outlineLevel="5">
      <c r="A317" s="28" t="s">
        <v>292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7">
        <v>1500</v>
      </c>
      <c r="P317" s="5">
        <v>7950</v>
      </c>
    </row>
    <row r="318" spans="1:16" s="6" customFormat="1" ht="15" customHeight="1" outlineLevel="4">
      <c r="A318" s="27" t="s">
        <v>147</v>
      </c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4">
        <v>6</v>
      </c>
      <c r="P318" s="5">
        <v>1107.6600000000001</v>
      </c>
    </row>
    <row r="319" spans="1:16" s="6" customFormat="1" ht="15" customHeight="1" outlineLevel="5">
      <c r="A319" s="28" t="s">
        <v>11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7">
        <v>5000</v>
      </c>
      <c r="P319" s="5">
        <v>17290</v>
      </c>
    </row>
    <row r="320" spans="1:16" s="6" customFormat="1" ht="15" customHeight="1">
      <c r="A320" s="26" t="s">
        <v>293</v>
      </c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">
        <v>11350</v>
      </c>
      <c r="P320" s="3">
        <v>39305.5</v>
      </c>
    </row>
    <row r="321" spans="1:16" s="6" customFormat="1" ht="15" customHeight="1" outlineLevel="6">
      <c r="A321" s="27" t="s">
        <v>242</v>
      </c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7">
        <v>5000</v>
      </c>
      <c r="P321" s="5">
        <v>8000</v>
      </c>
    </row>
    <row r="322" spans="1:16" s="6" customFormat="1" ht="15" customHeight="1" outlineLevel="5">
      <c r="A322" s="28" t="s">
        <v>294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4">
        <v>350</v>
      </c>
      <c r="P322" s="5">
        <v>2355.5</v>
      </c>
    </row>
    <row r="323" spans="1:16" s="6" customFormat="1" ht="15" customHeight="1" outlineLevel="5">
      <c r="A323" s="28" t="s">
        <v>295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7">
        <v>3000</v>
      </c>
      <c r="P323" s="5">
        <v>20190</v>
      </c>
    </row>
    <row r="324" spans="1:16" s="6" customFormat="1" ht="15" customHeight="1" outlineLevel="5">
      <c r="A324" s="28" t="s">
        <v>296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7">
        <v>3000</v>
      </c>
      <c r="P324" s="5">
        <v>8760</v>
      </c>
    </row>
    <row r="325" spans="1:16" s="6" customFormat="1" ht="15" customHeight="1">
      <c r="A325" s="26" t="s">
        <v>297</v>
      </c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">
        <v>16000</v>
      </c>
      <c r="P325" s="3">
        <v>25600</v>
      </c>
    </row>
    <row r="326" spans="1:16" s="6" customFormat="1" ht="15" customHeight="1" outlineLevel="6">
      <c r="A326" s="27" t="s">
        <v>242</v>
      </c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7">
        <v>4600</v>
      </c>
      <c r="P326" s="5">
        <v>7360</v>
      </c>
    </row>
    <row r="327" spans="1:16" s="6" customFormat="1" ht="15" customHeight="1" outlineLevel="6">
      <c r="A327" s="27" t="s">
        <v>91</v>
      </c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7">
        <v>11400</v>
      </c>
      <c r="P327" s="5">
        <v>18240</v>
      </c>
    </row>
    <row r="328" spans="1:16" s="6" customFormat="1" ht="15" customHeight="1">
      <c r="A328" s="26" t="s">
        <v>298</v>
      </c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">
        <v>42500</v>
      </c>
      <c r="P328" s="3">
        <v>146212</v>
      </c>
    </row>
    <row r="329" spans="1:16" s="6" customFormat="1" ht="15" customHeight="1" outlineLevel="5">
      <c r="A329" s="28" t="s">
        <v>299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7">
        <v>3000</v>
      </c>
      <c r="P329" s="5">
        <v>15180</v>
      </c>
    </row>
    <row r="330" spans="1:16" s="6" customFormat="1" ht="15" customHeight="1" outlineLevel="5">
      <c r="A330" s="28" t="s">
        <v>300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7">
        <v>20000</v>
      </c>
      <c r="P330" s="5">
        <v>54200</v>
      </c>
    </row>
    <row r="331" spans="1:16" s="6" customFormat="1" ht="15" customHeight="1" outlineLevel="5">
      <c r="A331" s="28" t="s">
        <v>301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7">
        <v>7000</v>
      </c>
      <c r="P331" s="5">
        <v>18970</v>
      </c>
    </row>
    <row r="332" spans="1:16" s="6" customFormat="1" ht="15" customHeight="1" outlineLevel="5">
      <c r="A332" s="28" t="s">
        <v>302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7">
        <v>10000</v>
      </c>
      <c r="P332" s="5">
        <v>27100</v>
      </c>
    </row>
    <row r="333" spans="1:16" s="6" customFormat="1" ht="15" customHeight="1" outlineLevel="5">
      <c r="A333" s="28" t="s">
        <v>303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7">
        <v>2000</v>
      </c>
      <c r="P333" s="5">
        <v>22900</v>
      </c>
    </row>
    <row r="334" spans="1:16" s="6" customFormat="1" ht="15" customHeight="1" outlineLevel="5">
      <c r="A334" s="28" t="s">
        <v>48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7">
        <v>200</v>
      </c>
      <c r="P334" s="5">
        <v>3224</v>
      </c>
    </row>
    <row r="335" spans="1:16" s="6" customFormat="1" ht="15" customHeight="1" outlineLevel="5">
      <c r="A335" s="28" t="s">
        <v>27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4">
        <v>300</v>
      </c>
      <c r="P335" s="5">
        <v>4638</v>
      </c>
    </row>
    <row r="336" spans="1:16" s="6" customFormat="1" ht="15" customHeight="1">
      <c r="A336" s="26" t="s">
        <v>304</v>
      </c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">
        <v>2000</v>
      </c>
      <c r="P336" s="3">
        <v>4320</v>
      </c>
    </row>
    <row r="337" spans="1:16" s="6" customFormat="1" ht="15" customHeight="1" outlineLevel="5">
      <c r="A337" s="28" t="s">
        <v>305</v>
      </c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7">
        <v>1000</v>
      </c>
      <c r="P337" s="5">
        <v>2570</v>
      </c>
    </row>
    <row r="338" spans="1:16" s="6" customFormat="1" ht="15" customHeight="1" outlineLevel="5">
      <c r="A338" s="28" t="s">
        <v>306</v>
      </c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7">
        <v>1000</v>
      </c>
      <c r="P338" s="5">
        <v>1750</v>
      </c>
    </row>
    <row r="339" spans="1:16" s="6" customFormat="1" ht="15" customHeight="1">
      <c r="A339" s="26" t="s">
        <v>307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">
        <v>1000</v>
      </c>
      <c r="P339" s="3">
        <v>4860</v>
      </c>
    </row>
    <row r="340" spans="1:16" s="6" customFormat="1" ht="15" customHeight="1" outlineLevel="5">
      <c r="A340" s="28" t="s">
        <v>87</v>
      </c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7">
        <v>1000</v>
      </c>
      <c r="P340" s="5">
        <v>4860</v>
      </c>
    </row>
    <row r="341" spans="1:16" s="6" customFormat="1" ht="11.4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1:16" s="6" customFormat="1" ht="11.4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</sheetData>
  <mergeCells count="341">
    <mergeCell ref="A212:N212"/>
    <mergeCell ref="A213:N213"/>
    <mergeCell ref="A214:N214"/>
    <mergeCell ref="A135:N135"/>
    <mergeCell ref="A136:N136"/>
    <mergeCell ref="A127:N127"/>
    <mergeCell ref="A128:N128"/>
    <mergeCell ref="A129:N129"/>
    <mergeCell ref="A140:N140"/>
    <mergeCell ref="A144:N144"/>
    <mergeCell ref="A149:N149"/>
    <mergeCell ref="A211:N211"/>
    <mergeCell ref="A145:N145"/>
    <mergeCell ref="A146:N146"/>
    <mergeCell ref="A147:N147"/>
    <mergeCell ref="A158:N158"/>
    <mergeCell ref="A172:N172"/>
    <mergeCell ref="A173:N173"/>
    <mergeCell ref="A174:N174"/>
    <mergeCell ref="A175:N175"/>
    <mergeCell ref="A150:N150"/>
    <mergeCell ref="A154:N154"/>
    <mergeCell ref="A138:N138"/>
    <mergeCell ref="A139:N139"/>
    <mergeCell ref="A141:N141"/>
    <mergeCell ref="A142:N142"/>
    <mergeCell ref="A143:N143"/>
    <mergeCell ref="A119:N119"/>
    <mergeCell ref="A121:N121"/>
    <mergeCell ref="A124:N124"/>
    <mergeCell ref="A126:N126"/>
    <mergeCell ref="A130:N130"/>
    <mergeCell ref="A131:N131"/>
    <mergeCell ref="A133:N133"/>
    <mergeCell ref="A137:N137"/>
    <mergeCell ref="A125:N125"/>
    <mergeCell ref="A122:N122"/>
    <mergeCell ref="A123:N123"/>
    <mergeCell ref="A120:N120"/>
    <mergeCell ref="A134:N134"/>
    <mergeCell ref="A132:N132"/>
    <mergeCell ref="A103:N103"/>
    <mergeCell ref="A104:N104"/>
    <mergeCell ref="A105:N105"/>
    <mergeCell ref="A117:N117"/>
    <mergeCell ref="A118:N118"/>
    <mergeCell ref="A110:N110"/>
    <mergeCell ref="A111:N111"/>
    <mergeCell ref="A112:N112"/>
    <mergeCell ref="A116:N116"/>
    <mergeCell ref="A108:N108"/>
    <mergeCell ref="A109:N109"/>
    <mergeCell ref="A113:N113"/>
    <mergeCell ref="A114:N114"/>
    <mergeCell ref="A115:N115"/>
    <mergeCell ref="A106:N106"/>
    <mergeCell ref="A107:N107"/>
    <mergeCell ref="A40:N40"/>
    <mergeCell ref="A7:N7"/>
    <mergeCell ref="A8:N8"/>
    <mergeCell ref="A9:N9"/>
    <mergeCell ref="A2:N2"/>
    <mergeCell ref="O2:O3"/>
    <mergeCell ref="A38:N38"/>
    <mergeCell ref="A39:N39"/>
    <mergeCell ref="A34:N34"/>
    <mergeCell ref="A35:N35"/>
    <mergeCell ref="A36:N36"/>
    <mergeCell ref="A37:N37"/>
    <mergeCell ref="A31:N31"/>
    <mergeCell ref="A32:N32"/>
    <mergeCell ref="A33:N33"/>
    <mergeCell ref="A27:N27"/>
    <mergeCell ref="A28:N28"/>
    <mergeCell ref="A29:N29"/>
    <mergeCell ref="A30:N30"/>
    <mergeCell ref="A24:N24"/>
    <mergeCell ref="A25:N25"/>
    <mergeCell ref="A26:N26"/>
    <mergeCell ref="A21:N21"/>
    <mergeCell ref="A22:N22"/>
    <mergeCell ref="P2:P3"/>
    <mergeCell ref="A3:N3"/>
    <mergeCell ref="A4:N4"/>
    <mergeCell ref="A5:N5"/>
    <mergeCell ref="A6:N6"/>
    <mergeCell ref="A18:N18"/>
    <mergeCell ref="A19:N19"/>
    <mergeCell ref="A20:N20"/>
    <mergeCell ref="A14:N14"/>
    <mergeCell ref="A15:N15"/>
    <mergeCell ref="A16:N16"/>
    <mergeCell ref="A17:N17"/>
    <mergeCell ref="A10:N10"/>
    <mergeCell ref="A11:N11"/>
    <mergeCell ref="A12:N12"/>
    <mergeCell ref="A13:N13"/>
    <mergeCell ref="A23:N23"/>
    <mergeCell ref="A41:N41"/>
    <mergeCell ref="A42:N42"/>
    <mergeCell ref="A43:N43"/>
    <mergeCell ref="A73:N73"/>
    <mergeCell ref="A74:N74"/>
    <mergeCell ref="A61:N61"/>
    <mergeCell ref="A62:N62"/>
    <mergeCell ref="A63:N63"/>
    <mergeCell ref="A58:N58"/>
    <mergeCell ref="A59:N59"/>
    <mergeCell ref="A60:N60"/>
    <mergeCell ref="A53:N53"/>
    <mergeCell ref="A55:N55"/>
    <mergeCell ref="A56:N56"/>
    <mergeCell ref="A57:N57"/>
    <mergeCell ref="A49:N49"/>
    <mergeCell ref="A50:N50"/>
    <mergeCell ref="A51:N51"/>
    <mergeCell ref="A52:N52"/>
    <mergeCell ref="A47:N47"/>
    <mergeCell ref="A48:N48"/>
    <mergeCell ref="A44:N44"/>
    <mergeCell ref="A45:N45"/>
    <mergeCell ref="A46:N46"/>
    <mergeCell ref="A75:N75"/>
    <mergeCell ref="A70:N70"/>
    <mergeCell ref="A71:N71"/>
    <mergeCell ref="A72:N72"/>
    <mergeCell ref="A66:N66"/>
    <mergeCell ref="A67:N67"/>
    <mergeCell ref="A68:N68"/>
    <mergeCell ref="A69:N69"/>
    <mergeCell ref="A64:N64"/>
    <mergeCell ref="A65:N65"/>
    <mergeCell ref="A54:N54"/>
    <mergeCell ref="A76:N76"/>
    <mergeCell ref="A77:N77"/>
    <mergeCell ref="A78:N78"/>
    <mergeCell ref="A79:N79"/>
    <mergeCell ref="A80:N80"/>
    <mergeCell ref="A81:N81"/>
    <mergeCell ref="A82:N82"/>
    <mergeCell ref="A83:N83"/>
    <mergeCell ref="A84:N84"/>
    <mergeCell ref="A85:N85"/>
    <mergeCell ref="A86:N86"/>
    <mergeCell ref="A87:N87"/>
    <mergeCell ref="A88:N88"/>
    <mergeCell ref="A89:N89"/>
    <mergeCell ref="A90:N90"/>
    <mergeCell ref="A91:N91"/>
    <mergeCell ref="A92:N92"/>
    <mergeCell ref="A93:N93"/>
    <mergeCell ref="A94:N94"/>
    <mergeCell ref="A95:N95"/>
    <mergeCell ref="A96:N96"/>
    <mergeCell ref="A97:N97"/>
    <mergeCell ref="A98:N98"/>
    <mergeCell ref="A99:N99"/>
    <mergeCell ref="A100:N100"/>
    <mergeCell ref="A101:N101"/>
    <mergeCell ref="A102:N102"/>
    <mergeCell ref="A220:N220"/>
    <mergeCell ref="A167:N167"/>
    <mergeCell ref="A168:N168"/>
    <mergeCell ref="A169:N169"/>
    <mergeCell ref="A170:N170"/>
    <mergeCell ref="A176:N176"/>
    <mergeCell ref="A177:N177"/>
    <mergeCell ref="A178:N178"/>
    <mergeCell ref="A182:N182"/>
    <mergeCell ref="A191:N191"/>
    <mergeCell ref="A192:N192"/>
    <mergeCell ref="A193:N193"/>
    <mergeCell ref="A183:N183"/>
    <mergeCell ref="A184:N184"/>
    <mergeCell ref="A190:N190"/>
    <mergeCell ref="A207:N207"/>
    <mergeCell ref="A208:N208"/>
    <mergeCell ref="A209:N209"/>
    <mergeCell ref="A210:N210"/>
    <mergeCell ref="A202:N202"/>
    <mergeCell ref="A203:N203"/>
    <mergeCell ref="A204:N204"/>
    <mergeCell ref="A205:N205"/>
    <mergeCell ref="A189:N189"/>
    <mergeCell ref="A221:N221"/>
    <mergeCell ref="A222:N222"/>
    <mergeCell ref="A181:N181"/>
    <mergeCell ref="A180:N180"/>
    <mergeCell ref="A223:N223"/>
    <mergeCell ref="A224:N224"/>
    <mergeCell ref="A225:N225"/>
    <mergeCell ref="A226:N226"/>
    <mergeCell ref="A227:N227"/>
    <mergeCell ref="A185:N185"/>
    <mergeCell ref="A186:N186"/>
    <mergeCell ref="A187:N187"/>
    <mergeCell ref="A188:N188"/>
    <mergeCell ref="A197:N197"/>
    <mergeCell ref="A198:N198"/>
    <mergeCell ref="A216:N216"/>
    <mergeCell ref="A217:N217"/>
    <mergeCell ref="A218:N218"/>
    <mergeCell ref="A219:N219"/>
    <mergeCell ref="A199:N199"/>
    <mergeCell ref="A200:N200"/>
    <mergeCell ref="A201:N201"/>
    <mergeCell ref="A206:N206"/>
    <mergeCell ref="A215:N215"/>
    <mergeCell ref="A228:N228"/>
    <mergeCell ref="A229:N229"/>
    <mergeCell ref="A230:N230"/>
    <mergeCell ref="A231:N231"/>
    <mergeCell ref="A232:N232"/>
    <mergeCell ref="A233:N233"/>
    <mergeCell ref="A234:N234"/>
    <mergeCell ref="A235:N235"/>
    <mergeCell ref="A236:N236"/>
    <mergeCell ref="A237:N237"/>
    <mergeCell ref="A238:N238"/>
    <mergeCell ref="A239:N239"/>
    <mergeCell ref="A240:N240"/>
    <mergeCell ref="A241:N241"/>
    <mergeCell ref="A242:N242"/>
    <mergeCell ref="A243:N243"/>
    <mergeCell ref="A244:N244"/>
    <mergeCell ref="A245:N245"/>
    <mergeCell ref="A247:N247"/>
    <mergeCell ref="A248:N248"/>
    <mergeCell ref="A249:N249"/>
    <mergeCell ref="A250:N250"/>
    <mergeCell ref="A246:N246"/>
    <mergeCell ref="A251:N251"/>
    <mergeCell ref="A252:N252"/>
    <mergeCell ref="A253:N253"/>
    <mergeCell ref="A254:N254"/>
    <mergeCell ref="A255:N255"/>
    <mergeCell ref="A256:N256"/>
    <mergeCell ref="A257:N257"/>
    <mergeCell ref="A258:N258"/>
    <mergeCell ref="A259:N259"/>
    <mergeCell ref="A260:N260"/>
    <mergeCell ref="A261:N261"/>
    <mergeCell ref="A262:N262"/>
    <mergeCell ref="A263:N263"/>
    <mergeCell ref="A264:N264"/>
    <mergeCell ref="A265:N265"/>
    <mergeCell ref="A266:N266"/>
    <mergeCell ref="A267:N267"/>
    <mergeCell ref="A268:N268"/>
    <mergeCell ref="A269:N269"/>
    <mergeCell ref="A270:N270"/>
    <mergeCell ref="A271:N271"/>
    <mergeCell ref="A272:N272"/>
    <mergeCell ref="A289:N289"/>
    <mergeCell ref="A290:N290"/>
    <mergeCell ref="A291:N291"/>
    <mergeCell ref="A273:N273"/>
    <mergeCell ref="A274:N274"/>
    <mergeCell ref="A276:N276"/>
    <mergeCell ref="A277:N277"/>
    <mergeCell ref="A278:N278"/>
    <mergeCell ref="A275:N275"/>
    <mergeCell ref="A280:N280"/>
    <mergeCell ref="A281:N281"/>
    <mergeCell ref="A282:N282"/>
    <mergeCell ref="A279:N279"/>
    <mergeCell ref="A324:N324"/>
    <mergeCell ref="A292:N292"/>
    <mergeCell ref="A293:N293"/>
    <mergeCell ref="A294:N294"/>
    <mergeCell ref="A295:N295"/>
    <mergeCell ref="A296:N296"/>
    <mergeCell ref="A297:N297"/>
    <mergeCell ref="A298:N298"/>
    <mergeCell ref="A299:N299"/>
    <mergeCell ref="A300:N300"/>
    <mergeCell ref="A319:N319"/>
    <mergeCell ref="A320:N320"/>
    <mergeCell ref="A321:N321"/>
    <mergeCell ref="A301:N301"/>
    <mergeCell ref="A302:N302"/>
    <mergeCell ref="A303:N303"/>
    <mergeCell ref="A304:N304"/>
    <mergeCell ref="A305:N305"/>
    <mergeCell ref="A306:N306"/>
    <mergeCell ref="A308:N308"/>
    <mergeCell ref="A311:N311"/>
    <mergeCell ref="A312:N312"/>
    <mergeCell ref="A309:N309"/>
    <mergeCell ref="A310:N310"/>
    <mergeCell ref="A179:N179"/>
    <mergeCell ref="A165:N165"/>
    <mergeCell ref="A164:N164"/>
    <mergeCell ref="A151:N151"/>
    <mergeCell ref="A152:N152"/>
    <mergeCell ref="A153:N153"/>
    <mergeCell ref="A166:N166"/>
    <mergeCell ref="A162:N162"/>
    <mergeCell ref="A163:N163"/>
    <mergeCell ref="A157:N157"/>
    <mergeCell ref="A155:N155"/>
    <mergeCell ref="A156:N156"/>
    <mergeCell ref="A171:N171"/>
    <mergeCell ref="A340:N340"/>
    <mergeCell ref="A336:N336"/>
    <mergeCell ref="A337:N337"/>
    <mergeCell ref="A338:N338"/>
    <mergeCell ref="A327:N327"/>
    <mergeCell ref="A328:N328"/>
    <mergeCell ref="A329:N329"/>
    <mergeCell ref="A330:N330"/>
    <mergeCell ref="A331:N331"/>
    <mergeCell ref="A332:N332"/>
    <mergeCell ref="A333:N333"/>
    <mergeCell ref="A335:N335"/>
    <mergeCell ref="A339:N339"/>
    <mergeCell ref="A334:N334"/>
    <mergeCell ref="A325:N325"/>
    <mergeCell ref="A326:N326"/>
    <mergeCell ref="A307:N307"/>
    <mergeCell ref="A194:N194"/>
    <mergeCell ref="A195:N195"/>
    <mergeCell ref="A196:N196"/>
    <mergeCell ref="A148:N148"/>
    <mergeCell ref="A159:N159"/>
    <mergeCell ref="A160:N160"/>
    <mergeCell ref="A161:N161"/>
    <mergeCell ref="A313:N313"/>
    <mergeCell ref="A314:N314"/>
    <mergeCell ref="A315:N315"/>
    <mergeCell ref="A316:N316"/>
    <mergeCell ref="A317:N317"/>
    <mergeCell ref="A318:N318"/>
    <mergeCell ref="A283:N283"/>
    <mergeCell ref="A284:N284"/>
    <mergeCell ref="A285:N285"/>
    <mergeCell ref="A286:N286"/>
    <mergeCell ref="A287:N287"/>
    <mergeCell ref="A288:N288"/>
    <mergeCell ref="A322:N322"/>
    <mergeCell ref="A323:N323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- -</cp:lastModifiedBy>
  <cp:revision/>
  <dcterms:created xsi:type="dcterms:W3CDTF">2026-07-23T09:20:30Z</dcterms:created>
  <dcterms:modified xsi:type="dcterms:W3CDTF">2026-07-23T09:20:30Z</dcterms:modified>
  <cp:category/>
  <cp:contentStatus/>
</cp:coreProperties>
</file>