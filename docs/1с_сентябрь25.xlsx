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Пользователь\Desktop\"/>
    </mc:Choice>
  </mc:AlternateContent>
  <bookViews>
    <workbookView xWindow="0" yWindow="0" windowWidth="11400" windowHeight="5895"/>
  </bookViews>
  <sheets>
    <sheet name="TDSheet" sheetId="1" r:id="rId1"/>
  </sheets>
  <calcPr calcId="162913" refMode="R1C1"/>
</workbook>
</file>

<file path=xl/calcChain.xml><?xml version="1.0" encoding="utf-8"?>
<calcChain xmlns="http://schemas.openxmlformats.org/spreadsheetml/2006/main">
  <c r="P5" i="1" l="1"/>
  <c r="S8" i="1" l="1"/>
  <c r="S5" i="1" l="1"/>
  <c r="S27" i="1" s="1"/>
  <c r="O5" i="1"/>
  <c r="S21" i="1"/>
  <c r="S19" i="1" l="1"/>
  <c r="S18" i="1"/>
  <c r="S6" i="1" l="1"/>
  <c r="S16" i="1" l="1"/>
  <c r="S15" i="1"/>
  <c r="S26" i="1" l="1"/>
  <c r="S25" i="1"/>
  <c r="S24" i="1"/>
  <c r="S12" i="1"/>
  <c r="S23" i="1" l="1"/>
  <c r="S9" i="1"/>
  <c r="S7" i="1"/>
</calcChain>
</file>

<file path=xl/sharedStrings.xml><?xml version="1.0" encoding="utf-8"?>
<sst xmlns="http://schemas.openxmlformats.org/spreadsheetml/2006/main" count="364" uniqueCount="245">
  <si>
    <t>Контрагент</t>
  </si>
  <si>
    <t>Количество</t>
  </si>
  <si>
    <t>Сумма реализации</t>
  </si>
  <si>
    <t>Группа</t>
  </si>
  <si>
    <t>Номенклатура</t>
  </si>
  <si>
    <t>Итого</t>
  </si>
  <si>
    <t>Авангард СДП</t>
  </si>
  <si>
    <t>ККК-603р       ДРГ 61-150-0188 /09/0109</t>
  </si>
  <si>
    <t>ККК-603р       ДРГ 63-050-050 /01/1609</t>
  </si>
  <si>
    <t>Концентрат кормовой балансирующий "Оптифид баланс"       ДРГ 63-050-10235 /02/0909</t>
  </si>
  <si>
    <t>Агро-Колядичи ОАО</t>
  </si>
  <si>
    <t>Асид Баф</t>
  </si>
  <si>
    <t>Агро-Фуд РТФ ООО</t>
  </si>
  <si>
    <t>Премикс Д-ПКР-2 для молодняка КРС старше 3-х месяцев       ДРГ 02-010-0274 /01/0309</t>
  </si>
  <si>
    <t>АгроПавлово СХУП</t>
  </si>
  <si>
    <t>ККК-603р       ДРГ 61-150-01337 /07/1009</t>
  </si>
  <si>
    <t>Батчи ОАО</t>
  </si>
  <si>
    <t>БелИнтерГен ООО</t>
  </si>
  <si>
    <t>Комбикорм-концентрат для телят в возрасте до 3 месяцев стартерный " Кальвостарт"       01100080-017 /05/0308</t>
  </si>
  <si>
    <t>Комбикорм-концентрат для телят в возрасте до 3 месяцев стартерный " Кальвостарт"       01100080-018 /01/2309</t>
  </si>
  <si>
    <t>ККК-603р       ДРГ 63-010-854 /02/1209</t>
  </si>
  <si>
    <t>ККК-603р       ДРГ 63-010-854 /07/2409</t>
  </si>
  <si>
    <t>Беловежский  ОАО</t>
  </si>
  <si>
    <t>ККК-603р       ДРГ 63-040-00531 /06/2908</t>
  </si>
  <si>
    <t>ККК-603р       ДРГ 63-300-004 /05/2908</t>
  </si>
  <si>
    <t>ККК-604р       ДРГ 02-010-7754 /07/2908</t>
  </si>
  <si>
    <t>ККК-605р       ДРГ 01-025-0124 /08/2908</t>
  </si>
  <si>
    <t>НутриКАБ</t>
  </si>
  <si>
    <t>Белпромприбор ЗАО</t>
  </si>
  <si>
    <t>ККК-603к       63200105-012 /02/2309</t>
  </si>
  <si>
    <t>ККК-603р       ДРГ 63-030-16320 /04/2309</t>
  </si>
  <si>
    <t>ККК-604р       ДРГ 02-030-03112 /05/2309</t>
  </si>
  <si>
    <t>Оптима 100</t>
  </si>
  <si>
    <t>Алкерфид Антитокс</t>
  </si>
  <si>
    <t>Клостат НС SP сухой</t>
  </si>
  <si>
    <t>Березовский ККЗ ОАО</t>
  </si>
  <si>
    <t>ККК-605р       ДРГ 01-025-0099 /03/0109</t>
  </si>
  <si>
    <t>Валище ОАО</t>
  </si>
  <si>
    <t>Воронецкий КСУП (СПК им.Воронецкого)</t>
  </si>
  <si>
    <t>Концентрат кормовой энергетический "Аминолак"       ДРГ 61-100-070 /08/2409</t>
  </si>
  <si>
    <t>Восходящая заря СПК</t>
  </si>
  <si>
    <t>Гарантагровест ООО</t>
  </si>
  <si>
    <t>ККК-603р       ДРГ 63-020-1487 /04/1109</t>
  </si>
  <si>
    <t>ККК-603р       ДРГ 63-020-1487 /10/2808</t>
  </si>
  <si>
    <t>ККК-604р       ДРГ 02-100-01925 /05/1109</t>
  </si>
  <si>
    <t>ККК-604р       ДРГ 02-100-01925 /12/2808</t>
  </si>
  <si>
    <t>ККК-605р       ДРГ 01-050-01613 /11/2808</t>
  </si>
  <si>
    <t>Концентрат кормовой балансирующий "Оптифид баланс"       ДРГ 63-050-10235 /01/3008</t>
  </si>
  <si>
    <t>Концентрат кормовой балансирующий "Оптифид баланс"       ДРГ 63-050-10235 /05/1608</t>
  </si>
  <si>
    <t>Гольшаны КСУП</t>
  </si>
  <si>
    <t>ККК-603р       ДРГ 61-100-0387 /03/1609</t>
  </si>
  <si>
    <t>ККК-603р       ДРГ 61-150-01338 /06/1609</t>
  </si>
  <si>
    <t>ККК-603р       ДРГ 63-010-75650 /11/2108</t>
  </si>
  <si>
    <t>ККК-603р       ДРГ 63-050-050 /04/1609</t>
  </si>
  <si>
    <t>ККК-604р       ДРГ 02-010-050 /05/1609</t>
  </si>
  <si>
    <t>ККК-605г       01500136-010 /03/0109</t>
  </si>
  <si>
    <t>Горбаха ОАО</t>
  </si>
  <si>
    <t>КемТРЕЙС пропионат хрома 0,4% сухой</t>
  </si>
  <si>
    <t>Городилово ОАО</t>
  </si>
  <si>
    <t>ККК-603р       ДРГ 61-150-0245 /03/1209</t>
  </si>
  <si>
    <t>ККК-603р       ДРГ 61-150-0245 /13/2808</t>
  </si>
  <si>
    <t>ККК-603р       ДРГ 63-010-8406 /04/1809</t>
  </si>
  <si>
    <t>ККК-605р       ДРГ 01-050-01611 /13/1009</t>
  </si>
  <si>
    <t>Грушево-МИЛК Сельскохозяйственное унитарное предприятие</t>
  </si>
  <si>
    <t>Гудевичи ЗАО</t>
  </si>
  <si>
    <t>ККК-603р       ДРГ 61-100-0573 /08/1009</t>
  </si>
  <si>
    <t>ККК-603р       ДРГ 61-150-0301 /08/1109</t>
  </si>
  <si>
    <t>ККК-603р       ДРГ 63-030-15827 /10/1009</t>
  </si>
  <si>
    <t>ККК-603р       ДРГ 63-050-02549 /07/0109</t>
  </si>
  <si>
    <t>ККК-603р       ДРГ 63-050-02549 /12/1009</t>
  </si>
  <si>
    <t>ККК-603р       ДРГ 63-160-0129 /06/1508</t>
  </si>
  <si>
    <t>ККК-603р       ДРГ 63-160-0130 /01/0409</t>
  </si>
  <si>
    <t>ККК-604р       ДРГ 02-010-0298 /11/1009</t>
  </si>
  <si>
    <t>Дрогичин Агро ФХ</t>
  </si>
  <si>
    <t>ККК-604р       ДРГ 02-010-74040 /05/0309</t>
  </si>
  <si>
    <t>Западный СГЦ ОАО</t>
  </si>
  <si>
    <t>ККК-603р       ДРГ 63-020-132 /05/1209</t>
  </si>
  <si>
    <t>Комбикорм-концентрат для телят в возрасте до 3 месяцев стартерный " Кальвостарт"       01100081-021 /10/0409</t>
  </si>
  <si>
    <t>ККК-605г       01500136-009 /11/1608</t>
  </si>
  <si>
    <t>КормВетАгро ООО</t>
  </si>
  <si>
    <t>Комбикорм-концентрат для телят в возрасте до 3 месяцев стартерный " Кальвостарт"       01100081-021 /10/2309</t>
  </si>
  <si>
    <t>ККК-603р       ДРГ 63-020-10758 /05/0509</t>
  </si>
  <si>
    <t>ККК-603р       ДРГ 63-020-1567 /03/1109</t>
  </si>
  <si>
    <t>ККК-603р       ДРГ 63-020-1671 /07/1109</t>
  </si>
  <si>
    <t>ККК-603р       ДРГ 63-020-17003 /06/0809</t>
  </si>
  <si>
    <t>ККК-603р       ДРГ 63-020-171 /01/2508</t>
  </si>
  <si>
    <t>ККК-603р       ДРГ 63-020-17101 /02/1609</t>
  </si>
  <si>
    <t>ККК-603р       ДРГ 63-020-180 /02/2609</t>
  </si>
  <si>
    <t>ККК-603р       ДРГ 63-020-180 /05/0809</t>
  </si>
  <si>
    <t>ККК-603р       ДРГ 63-020-180 /05/2609</t>
  </si>
  <si>
    <t>ККК-603р       ДРГ 63-300-00223 /01/2308</t>
  </si>
  <si>
    <t>ККК-603р       ДРГ 63-300-00223 /06/1109</t>
  </si>
  <si>
    <t>ККК-603р       ДРГ 63-300-005 /02/0809</t>
  </si>
  <si>
    <t>ККК-603р       ДРГ 63-300-005 /02/2309</t>
  </si>
  <si>
    <t>ККК-603р       ДРГ 63-300-005 /06/1809</t>
  </si>
  <si>
    <t>ККК-604р       ДРГ 02-050-03301 /03/2309</t>
  </si>
  <si>
    <t>ККК-604р       ДРГ 02-200-0176 /04/0509</t>
  </si>
  <si>
    <t>Концентрат кормовой балансирующий "Оптифид баланс"       ДРГ 61-100-1306 /05/2308</t>
  </si>
  <si>
    <t>Концентрат кормовой балансирующий "Оптифид баланс"       ДРГ 61-100-1310 /01/0209</t>
  </si>
  <si>
    <t>Концентрат кормовой балансирующий "Оптифид баланс"       ДРГ 61-100-1310 /01/1309</t>
  </si>
  <si>
    <t>Концентрат кормовой балансирующий "Оптифид баланс"       ДРГ 61-100-150 /01/2209</t>
  </si>
  <si>
    <t>Концентрат кормовой энергетический "Аминолак"       ДРГ 61-100-071 /06/2609</t>
  </si>
  <si>
    <t>Кормикс ЧП</t>
  </si>
  <si>
    <t>Комбикорм-концентрат для телят в возрасте до 3 месяцев стартерный " Кальвостарт"       01100081-019 /02/2108</t>
  </si>
  <si>
    <t>ККК-603к       63200105-012 /01/2108</t>
  </si>
  <si>
    <t>ККК-605г       01500136-010 /11/2309</t>
  </si>
  <si>
    <t>ККК-603р       ДРГ 61-100-0390 /03/1909</t>
  </si>
  <si>
    <t>ККК-603р       ДРГ 61-100-0390 /05/0109</t>
  </si>
  <si>
    <t>ККК-603р       ДРГ 61-150-030 /03/0409</t>
  </si>
  <si>
    <t>ККК-603р       ДРГ 63-010-1714 /09/0809</t>
  </si>
  <si>
    <t>ККК-603р       ДРГ 63-010-8423 /01/2409</t>
  </si>
  <si>
    <t>ККК-603р       ДРГ 63-010-8433 /02/2409</t>
  </si>
  <si>
    <t>ККК-603р       ДРГ 63-020-10758 /01/1109</t>
  </si>
  <si>
    <t>ККК-603р       ДРГ 63-020-1606 /06/2309</t>
  </si>
  <si>
    <t>ККК-603р       ДРГ 63-030-14328 /03/2708</t>
  </si>
  <si>
    <t>ККК-603р       ДРГ 63-030-15827 /04/0109</t>
  </si>
  <si>
    <t>ККК-603р       ДРГ 63-030-15828 /02/1909</t>
  </si>
  <si>
    <t>ККК-603р       ДРГ 63-050-02549 /03/0509</t>
  </si>
  <si>
    <t>ККК-603р       ДРГ 63-050-02549 /06/2808</t>
  </si>
  <si>
    <t>ККК-603р       ДРГ 63-050-050 /01/1009</t>
  </si>
  <si>
    <t>ККК-603р       ДРГ 63-050-050 /02/0409</t>
  </si>
  <si>
    <t>ККК-603р       ДРГ 63-300-00220 /09/0207</t>
  </si>
  <si>
    <t>ККК-603р       ДРГ 63-300-00223 /02/0509</t>
  </si>
  <si>
    <t>ККК-603р       ДРГ 63-300-005 /05/1809</t>
  </si>
  <si>
    <t>Концентрат кормовой балансирующий "Оптифид баланс"       ДРГ 61-100-132 /01/0509</t>
  </si>
  <si>
    <t>Концентрат кормовой балансирующий "Оптифид баланс"       ДРГ 61-100-133 /03/2509</t>
  </si>
  <si>
    <t>Концентрат кормовой энергетический "Аминолак"       ДРГ 61-100-05315 /01/0909</t>
  </si>
  <si>
    <t>Токсфин сухой</t>
  </si>
  <si>
    <t>Краснодворцы ОАО</t>
  </si>
  <si>
    <t>ККК-603р       ДРГ 63-010-8182 /08/0809</t>
  </si>
  <si>
    <t>Красный пищевик-АгроСервис ОАО  Пищевик-Агро Филиал</t>
  </si>
  <si>
    <t>ККК-603р       ДРГ 63-020-10758 /02/2808</t>
  </si>
  <si>
    <t>ККК-603р       ДРГ 63-030-15644 /03/2808</t>
  </si>
  <si>
    <t>ККК-604р       ДРГ 02-010-0298 /01/2808</t>
  </si>
  <si>
    <t>Лань-Несвиж ОАО</t>
  </si>
  <si>
    <t>Максимовичи-Агро ОАО</t>
  </si>
  <si>
    <t>Матеевичи ОАО</t>
  </si>
  <si>
    <t>Маяк Высокое ОАО</t>
  </si>
  <si>
    <t>ККК-604р       ДРГ 02-010-74040 /07/2808</t>
  </si>
  <si>
    <t>МилкАгро УП</t>
  </si>
  <si>
    <t>Мурава ОАО  Пружанск. р-н</t>
  </si>
  <si>
    <t>ККК-603р       ДРГ 61-150-141 /04/1209</t>
  </si>
  <si>
    <t>ККК-603р       ДРГ 63-020-174 /01/1209</t>
  </si>
  <si>
    <t>Несвижские Островки ОАО</t>
  </si>
  <si>
    <t>ККК-603р       ДРГ 63-010-8338 /08/2808</t>
  </si>
  <si>
    <t>ККК-603р       ДРГ 63-030-15644 /09/2808</t>
  </si>
  <si>
    <t>Несвижский райагросервис ОАО</t>
  </si>
  <si>
    <t>Новая жизнь ОАО</t>
  </si>
  <si>
    <t>Озеры СПК Гродненская обл.</t>
  </si>
  <si>
    <t>ККК-603р       ДРГ 61-100-0594 /03/1809</t>
  </si>
  <si>
    <t>Олекшицы РСУП</t>
  </si>
  <si>
    <t>Ополь-Агро ОАО</t>
  </si>
  <si>
    <t>Осовецкий СПК</t>
  </si>
  <si>
    <t>ККК-603р       ДРГ 63-010-860 /06/0309</t>
  </si>
  <si>
    <t>ККК-603р       ДРГ 63-010-8611 /04/2609</t>
  </si>
  <si>
    <t>ККК-604р       ДРГ 02-010-74040 /03/1508</t>
  </si>
  <si>
    <t>ОСП Совхоз Минский ДОРОРС</t>
  </si>
  <si>
    <t>Охово ОАО</t>
  </si>
  <si>
    <t>ПК им. Кремко</t>
  </si>
  <si>
    <t>ККК-603р       ДРГ 61-100-0488 /05/1009</t>
  </si>
  <si>
    <t>ККК-603р       ДРГ 61-100-0595 /07/1909</t>
  </si>
  <si>
    <t>ККК-603р       ДРГ 63-020-13713 /03/1009</t>
  </si>
  <si>
    <t>ККК-603р       ДРГ 63-020-13714 /13/2409</t>
  </si>
  <si>
    <t>ККК-603р       ДРГ 63-030-002 /12/2409</t>
  </si>
  <si>
    <t>ККК-604р       ДРГ 02-010-7746 /04/1009</t>
  </si>
  <si>
    <t>ККК-604р       ДРГ 02-010-7747 /01/2509</t>
  </si>
  <si>
    <t>Концентрат кормовой энергетический "Аминолак"       ДРГ 63-100-057 /02/2509</t>
  </si>
  <si>
    <t>Концентрат кормовой энергетический "Аминолак"       ДРГ 63-100-057 /06/1009</t>
  </si>
  <si>
    <t>Полесье-Агроинвест СУП</t>
  </si>
  <si>
    <t>Припять-2009 Государственное предприятие</t>
  </si>
  <si>
    <t>Путришки УО СПК</t>
  </si>
  <si>
    <t>Радонежское ОАО</t>
  </si>
  <si>
    <t>ККК-603р       ДРГ 63-010-838 /08/1609</t>
  </si>
  <si>
    <t>ККК-604р       ДРГ 02-030-0377 /09/1009</t>
  </si>
  <si>
    <t>Рогознянский ОАО Жабинковский</t>
  </si>
  <si>
    <t>ККК-604р       ДРГ 02-010-050 /02/1109</t>
  </si>
  <si>
    <t>Савушкин - Луч СУП</t>
  </si>
  <si>
    <t>ККК-603р       ДРГ 63-040-012 /01/1809</t>
  </si>
  <si>
    <t>ККК-603р       ДРГ 63-050-03225 /01/2309</t>
  </si>
  <si>
    <t>ККК-603р       ДРГ 63-050-03225 /01/2609</t>
  </si>
  <si>
    <t>ККК-603р       ДРГ 63-050-03225 /07/0809</t>
  </si>
  <si>
    <t>Сафволл</t>
  </si>
  <si>
    <t>Свитязянка-2003 СПК</t>
  </si>
  <si>
    <t>ККК-603р       ДРГ 61-100-0573 /09/2108</t>
  </si>
  <si>
    <t>ККК-603р       ДРГ 63-030-15827 /08/2108</t>
  </si>
  <si>
    <t>Совхоз Доброволец  УКСХП</t>
  </si>
  <si>
    <t>ККК-603р       ДРГ 61-150-140 /04/1909</t>
  </si>
  <si>
    <t>ККК-603р       ДРГ 63-030-15646 /01/1909</t>
  </si>
  <si>
    <t>ККК-604р       ДРГ 02-030-042 /03/2609</t>
  </si>
  <si>
    <t>Совхоз-комбинат Заря ГП</t>
  </si>
  <si>
    <t>ККК-603р       ДРГ 63-025-0154 /03/0809</t>
  </si>
  <si>
    <t>ККК-603р       ДРГ 63-050-0377 /04/0809</t>
  </si>
  <si>
    <t>Сож с/к Гомельская обл.</t>
  </si>
  <si>
    <t>ККК-603р       ДРГ 63-010-75651 /08/2309</t>
  </si>
  <si>
    <t>Спорово ОАО</t>
  </si>
  <si>
    <t>Сынковичи СПК</t>
  </si>
  <si>
    <t>Утёс ОАО</t>
  </si>
  <si>
    <t>ККК-603р       ДРГ 63-030-15644 /12/1109</t>
  </si>
  <si>
    <t>ККК-603р       ДРГ 63-300-005 /11/1109</t>
  </si>
  <si>
    <t>ФАМЭК ООО</t>
  </si>
  <si>
    <t>Федорский СПК</t>
  </si>
  <si>
    <t>ЭффектИнвест ОАО</t>
  </si>
  <si>
    <t>ККК-603р       ДРГ 61-100-11530 /01/0109</t>
  </si>
  <si>
    <t>ККК-603р       ДРГ 63-010-78911 /06/0109</t>
  </si>
  <si>
    <t>ККК-603р       ДРГ 63-070-00732 /02/0109</t>
  </si>
  <si>
    <t>Концентрат кормовой балансирующий "Оптифид баланс"       ДРГ 61-100-1306 /01/1408</t>
  </si>
  <si>
    <t>Концентрат кормовой балансирующий "Оптифид баланс"       ДРГ 61-100-1306 /01/1808</t>
  </si>
  <si>
    <t>Концентрат кормовой энергетический "Аминолак"       ДРГ 61-100-05315 /08/0109</t>
  </si>
  <si>
    <t>Савушкина пуща ОАО</t>
  </si>
  <si>
    <t>Дрогичин</t>
  </si>
  <si>
    <t>ККК</t>
  </si>
  <si>
    <t>Премиксы</t>
  </si>
  <si>
    <t>Оптифид 10%</t>
  </si>
  <si>
    <t>Оптифид 5%</t>
  </si>
  <si>
    <t>ККК-604р 10%</t>
  </si>
  <si>
    <t>Аминолак</t>
  </si>
  <si>
    <t>КемТРЕЙС</t>
  </si>
  <si>
    <t>Консулагро</t>
  </si>
  <si>
    <t>603к</t>
  </si>
  <si>
    <t>605г</t>
  </si>
  <si>
    <t>Кальвостарт</t>
  </si>
  <si>
    <t>ККК-603р10%</t>
  </si>
  <si>
    <t>Концентрат кормовой балансирующий "Оптифид интенсив откорм" 02-050-040</t>
  </si>
  <si>
    <t>Оптифид интенсив откорм</t>
  </si>
  <si>
    <t>АГРОВЕТГАРАНТ</t>
  </si>
  <si>
    <t>ОАО "Именинский"</t>
  </si>
  <si>
    <t xml:space="preserve"> СПУ "Доманово"</t>
  </si>
  <si>
    <t>СПК им. Деньщикова</t>
  </si>
  <si>
    <t>ОАО "Коссово"</t>
  </si>
  <si>
    <t>С/х филиал "Доброселецкий" КУП "Гроднооблдорстрой"</t>
  </si>
  <si>
    <t>ИООО "АФТАБ"</t>
  </si>
  <si>
    <t>ОАО "Щучинагропродукт"</t>
  </si>
  <si>
    <t>ОАО "Барановичхлебопродукт"</t>
  </si>
  <si>
    <t>ОАО "Чернавчицы"</t>
  </si>
  <si>
    <t>ОАО "Лядецкий"</t>
  </si>
  <si>
    <t>ОАО "Агро-Детковичи"</t>
  </si>
  <si>
    <t>СПУ "Доманово"</t>
  </si>
  <si>
    <t>ОАО "Остромечево"</t>
  </si>
  <si>
    <t>Сельскохозяйственное унитарное предприятие "Хотиславский"</t>
  </si>
  <si>
    <t>ОАО "Агро-сад Рассвет"</t>
  </si>
  <si>
    <t>Филиал "Будча" ОАО "Барановичхлебопродукт"</t>
  </si>
  <si>
    <t>СУП "Хотиславский"</t>
  </si>
  <si>
    <t>Концентрат кормовой профилактический "Здоровая печень"    ДРГ 63-025-027/02/1009</t>
  </si>
  <si>
    <t xml:space="preserve">                              Премикс Д-П60-3 для высокопродуктивных коров       ДРГ 63-020-0074 /02/0309</t>
  </si>
  <si>
    <t xml:space="preserve">Здоровая печень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</si>
</sst>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8"/>
      <name val="Arial"/>
    </font>
    <font>
      <sz val="10"/>
      <name val="Arial"/>
    </font>
    <font>
      <b/>
      <sz val="11"/>
      <color rgb="FF000000"/>
      <name val="Calibri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b/>
      <sz val="11"/>
      <color theme="1"/>
      <name val="Calibri"/>
      <family val="2"/>
      <charset val="204"/>
    </font>
    <font>
      <b/>
      <sz val="8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/>
    <xf numFmtId="0" fontId="6" fillId="0" borderId="0" xfId="0" applyFont="1"/>
    <xf numFmtId="3" fontId="5" fillId="2" borderId="1" xfId="0" applyNumberFormat="1" applyFont="1" applyFill="1" applyBorder="1" applyAlignment="1">
      <alignment horizontal="right" vertical="top"/>
    </xf>
    <xf numFmtId="4" fontId="5" fillId="2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4" fontId="7" fillId="0" borderId="0" xfId="0" applyNumberFormat="1" applyFont="1" applyAlignment="1">
      <alignment horizontal="right" vertical="top"/>
    </xf>
    <xf numFmtId="0" fontId="3" fillId="0" borderId="0" xfId="0" applyFont="1"/>
    <xf numFmtId="1" fontId="7" fillId="0" borderId="0" xfId="0" applyNumberFormat="1" applyFont="1" applyAlignment="1">
      <alignment horizontal="right" vertical="top"/>
    </xf>
    <xf numFmtId="1" fontId="5" fillId="2" borderId="1" xfId="0" applyNumberFormat="1" applyFont="1" applyFill="1" applyBorder="1" applyAlignment="1">
      <alignment horizontal="right" vertical="top"/>
    </xf>
    <xf numFmtId="2" fontId="5" fillId="2" borderId="1" xfId="0" applyNumberFormat="1" applyFont="1" applyFill="1" applyBorder="1" applyAlignment="1">
      <alignment horizontal="right" vertical="top"/>
    </xf>
    <xf numFmtId="2" fontId="7" fillId="0" borderId="0" xfId="0" applyNumberFormat="1" applyFont="1" applyAlignment="1">
      <alignment horizontal="right" vertical="top"/>
    </xf>
    <xf numFmtId="0" fontId="8" fillId="0" borderId="0" xfId="0" applyFont="1"/>
    <xf numFmtId="3" fontId="8" fillId="0" borderId="0" xfId="0" applyNumberFormat="1" applyFont="1"/>
    <xf numFmtId="0" fontId="9" fillId="0" borderId="0" xfId="0" applyFont="1"/>
    <xf numFmtId="0" fontId="10" fillId="0" borderId="0" xfId="0" applyFont="1"/>
    <xf numFmtId="3" fontId="10" fillId="0" borderId="0" xfId="0" applyNumberFormat="1" applyFont="1"/>
    <xf numFmtId="0" fontId="11" fillId="0" borderId="0" xfId="0" applyFont="1"/>
    <xf numFmtId="3" fontId="11" fillId="0" borderId="0" xfId="0" applyNumberFormat="1" applyFont="1"/>
    <xf numFmtId="0" fontId="12" fillId="0" borderId="0" xfId="0" applyFont="1" applyAlignment="1">
      <alignment horizontal="left"/>
    </xf>
    <xf numFmtId="0" fontId="12" fillId="0" borderId="0" xfId="0" applyFont="1"/>
    <xf numFmtId="0" fontId="10" fillId="0" borderId="0" xfId="0" applyFont="1" applyFill="1"/>
    <xf numFmtId="3" fontId="7" fillId="0" borderId="0" xfId="0" applyNumberFormat="1" applyFont="1" applyFill="1" applyAlignment="1">
      <alignment horizontal="right" vertical="top"/>
    </xf>
    <xf numFmtId="4" fontId="7" fillId="0" borderId="0" xfId="0" applyNumberFormat="1" applyFont="1" applyFill="1" applyAlignment="1">
      <alignment horizontal="right" vertical="top"/>
    </xf>
    <xf numFmtId="0" fontId="8" fillId="0" borderId="0" xfId="0" applyFont="1" applyFill="1"/>
    <xf numFmtId="0" fontId="12" fillId="0" borderId="0" xfId="0" applyFont="1" applyFill="1"/>
    <xf numFmtId="0" fontId="0" fillId="0" borderId="0" xfId="0" applyFill="1"/>
    <xf numFmtId="0" fontId="3" fillId="0" borderId="0" xfId="0" applyFont="1" applyFill="1"/>
    <xf numFmtId="1" fontId="7" fillId="0" borderId="0" xfId="0" applyNumberFormat="1" applyFont="1" applyFill="1" applyAlignment="1">
      <alignment horizontal="right" vertical="top"/>
    </xf>
    <xf numFmtId="1" fontId="10" fillId="0" borderId="0" xfId="0" applyNumberFormat="1" applyFont="1"/>
    <xf numFmtId="3" fontId="9" fillId="0" borderId="0" xfId="0" applyNumberFormat="1" applyFont="1"/>
    <xf numFmtId="3" fontId="7" fillId="0" borderId="0" xfId="0" applyNumberFormat="1" applyFont="1" applyAlignment="1">
      <alignment horizontal="right" vertical="top"/>
    </xf>
    <xf numFmtId="4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left" vertical="top" wrapText="1" indent="12"/>
    </xf>
    <xf numFmtId="0" fontId="5" fillId="2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 indent="10"/>
    </xf>
    <xf numFmtId="0" fontId="7" fillId="0" borderId="0" xfId="0" applyFont="1" applyAlignment="1">
      <alignment horizontal="left" vertical="top" wrapText="1" indent="8"/>
    </xf>
    <xf numFmtId="0" fontId="7" fillId="0" borderId="0" xfId="0" applyFont="1" applyFill="1" applyAlignment="1">
      <alignment horizontal="center" vertical="top" wrapText="1"/>
    </xf>
    <xf numFmtId="0" fontId="7" fillId="0" borderId="0" xfId="0" applyFont="1" applyFill="1" applyAlignment="1">
      <alignment horizontal="left" vertical="top" wrapText="1" indent="10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/>
    </xf>
    <xf numFmtId="4" fontId="7" fillId="0" borderId="0" xfId="0" applyNumberFormat="1" applyFont="1" applyAlignment="1">
      <alignment horizontal="right" vertical="top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13" fillId="0" borderId="0" xfId="0" applyFont="1" applyAlignment="1">
      <alignment horizontal="left" vertical="top" wrapText="1" indent="10"/>
    </xf>
    <xf numFmtId="3" fontId="13" fillId="0" borderId="0" xfId="0" applyNumberFormat="1" applyFont="1" applyAlignment="1">
      <alignment horizontal="right" vertical="top"/>
    </xf>
    <xf numFmtId="4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center" vertical="top" wrapText="1"/>
    </xf>
    <xf numFmtId="0" fontId="7" fillId="0" borderId="0" xfId="0" applyFont="1" applyFill="1" applyAlignment="1">
      <alignment horizontal="left" vertical="top" wrapText="1" indent="8"/>
    </xf>
    <xf numFmtId="0" fontId="14" fillId="2" borderId="1" xfId="0" applyFont="1" applyFill="1" applyBorder="1" applyAlignment="1">
      <alignment horizontal="left" vertical="top" wrapText="1"/>
    </xf>
    <xf numFmtId="3" fontId="14" fillId="2" borderId="1" xfId="0" applyNumberFormat="1" applyFont="1" applyFill="1" applyBorder="1" applyAlignment="1">
      <alignment horizontal="right" vertical="top"/>
    </xf>
    <xf numFmtId="4" fontId="14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S314"/>
  <sheetViews>
    <sheetView tabSelected="1" zoomScaleNormal="100" workbookViewId="0">
      <selection activeCell="R304" sqref="R304"/>
    </sheetView>
  </sheetViews>
  <sheetFormatPr defaultColWidth="10.5" defaultRowHeight="11.45" customHeight="1" outlineLevelRow="6" x14ac:dyDescent="0.2"/>
  <cols>
    <col min="1" max="1" width="7.1640625" style="1" customWidth="1"/>
    <col min="2" max="2" width="2.33203125" style="1" customWidth="1"/>
    <col min="3" max="3" width="1" style="1" customWidth="1"/>
    <col min="4" max="4" width="15.33203125" style="1" customWidth="1"/>
    <col min="5" max="5" width="18.6640625" style="1" customWidth="1"/>
    <col min="6" max="6" width="2.1640625" style="1" customWidth="1"/>
    <col min="7" max="7" width="16.5" style="1" customWidth="1"/>
    <col min="8" max="8" width="12.6640625" style="1" customWidth="1"/>
    <col min="9" max="9" width="3.6640625" style="1" customWidth="1"/>
    <col min="10" max="10" width="2.33203125" style="1" customWidth="1"/>
    <col min="11" max="11" width="54" style="1" customWidth="1"/>
    <col min="12" max="12" width="1.83203125" style="1" customWidth="1"/>
    <col min="13" max="13" width="2.6640625" style="1" customWidth="1"/>
    <col min="14" max="14" width="2.33203125" style="1" customWidth="1"/>
    <col min="15" max="15" width="14.33203125" style="1" customWidth="1"/>
    <col min="16" max="16" width="19.33203125" style="1" customWidth="1"/>
    <col min="18" max="18" width="32.6640625" style="23" customWidth="1"/>
  </cols>
  <sheetData>
    <row r="1" spans="1:19" s="1" customFormat="1" ht="15.75" customHeight="1" x14ac:dyDescent="0.2">
      <c r="R1" s="22"/>
    </row>
    <row r="2" spans="1:19" ht="12.95" customHeight="1" x14ac:dyDescent="0.2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5" t="s">
        <v>1</v>
      </c>
      <c r="P2" s="45" t="s">
        <v>2</v>
      </c>
    </row>
    <row r="3" spans="1:19" ht="12.95" customHeight="1" x14ac:dyDescent="0.2">
      <c r="A3" s="47" t="s">
        <v>3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6"/>
      <c r="P3" s="46"/>
    </row>
    <row r="4" spans="1:19" ht="12.95" customHeight="1" x14ac:dyDescent="0.2">
      <c r="A4" s="47" t="s">
        <v>4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6"/>
      <c r="P4" s="46"/>
    </row>
    <row r="5" spans="1:19" ht="15" customHeight="1" x14ac:dyDescent="0.2">
      <c r="A5" s="48" t="s">
        <v>5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6">
        <f>SUM(O6,O10,O12,O17,O19,O21,O26,O32,O39,O41,O43,O45,O48,O57,O65,O67,O72,O74,O84,O87,O89,O92,O119,O128,O175,O179,O187,O189,O191,O193,O196,O198,O202,O206,O208,O211,O215,O217,O219,O224,O226,O228,O239,O245,O247,O249,O256,O259,O267,O269,O274,O281,O285,O287,O289,O291,O296,O298,O300)</f>
        <v>824291</v>
      </c>
      <c r="P5" s="7">
        <f>SUM(P6,P10,P12,P17,P19,P21,P26,P32,P39,P41,P43,P45,P48,P57,P65,P67,P72,P74,P84,P87,P89,P92,P119,P128,P175,P179,P187,P189,P191,P193,P196,P198,P202,P206,P208,P211,P215,P217,P219,P224,P226,P228,P239,P245,P247,P249,P256,P259,P267,P269,P274,P281,P285,P287,P289,P291,P296,P298,P300)</f>
        <v>3665344.0199999996</v>
      </c>
      <c r="R5" s="17" t="s">
        <v>209</v>
      </c>
      <c r="S5" s="33">
        <f>SUM(S6:S14)</f>
        <v>578425</v>
      </c>
    </row>
    <row r="6" spans="1:19" s="2" customFormat="1" ht="15" customHeight="1" x14ac:dyDescent="0.2">
      <c r="A6" s="37" t="s">
        <v>6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4">
        <v>17000</v>
      </c>
      <c r="P6" s="5">
        <v>87200</v>
      </c>
      <c r="R6" s="15" t="s">
        <v>210</v>
      </c>
      <c r="S6" s="16">
        <f>SUM(O7,O8,O18,O24,O25,O27,O28,O29,O30,O34,O35,O40,O49,O50,O53,O58,O59,O60,O61,O62,O67,O75,O76,O77,O78,O79,O80,O81,O82,O84,O87,O93,O94,O95,O96,O97,O98,O99,O100,O101,O103,O102,O104,O105,O106,O107,O108,O109,O129,O130,O131,O132,O133,O134,O135,O136,O137,O138,O139,O140,O141,O142,O143,O144,O148,O151,O154,O155,O176,O180,O181,O182,O194,O198,O203,O204,O212,O213,O219,O229,O230,O231,O232,O233,O234,O235,O240,O241,O250,O251,O257,O260,O261,O262,O263,O264,O270,O271,O272,O275,O276,O277,O282,O283,O286,O293,O292,O302,O303,O304,O305)</f>
        <v>317425</v>
      </c>
    </row>
    <row r="7" spans="1:19" s="10" customFormat="1" ht="15" customHeight="1" outlineLevel="5" x14ac:dyDescent="0.2">
      <c r="A7" s="38" t="s">
        <v>7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8">
        <v>10000</v>
      </c>
      <c r="P7" s="9">
        <v>69500</v>
      </c>
      <c r="R7" s="18" t="s">
        <v>211</v>
      </c>
      <c r="S7" s="19">
        <f>SUM(O14,O16)</f>
        <v>20000</v>
      </c>
    </row>
    <row r="8" spans="1:19" s="10" customFormat="1" ht="15" customHeight="1" outlineLevel="5" x14ac:dyDescent="0.2">
      <c r="A8" s="38" t="s">
        <v>8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8">
        <v>2000</v>
      </c>
      <c r="P8" s="9">
        <v>7000</v>
      </c>
      <c r="R8" s="18" t="s">
        <v>212</v>
      </c>
      <c r="S8" s="19">
        <f>SUM(O110,O111,O112,O113,O156,O159,O160,O195,O252,O253,O306,O307,O308,O309)</f>
        <v>148500</v>
      </c>
    </row>
    <row r="9" spans="1:19" s="10" customFormat="1" ht="15" customHeight="1" outlineLevel="5" x14ac:dyDescent="0.2">
      <c r="A9" s="38" t="s">
        <v>9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8">
        <v>5000</v>
      </c>
      <c r="P9" s="9">
        <v>10700</v>
      </c>
      <c r="R9" s="18" t="s">
        <v>213</v>
      </c>
      <c r="S9" s="19">
        <f>SUM(O9,O54,O55,O56,O114,O161,O185,O279)</f>
        <v>58000</v>
      </c>
    </row>
    <row r="10" spans="1:19" s="3" customFormat="1" ht="15" customHeight="1" x14ac:dyDescent="0.2">
      <c r="A10" s="37" t="s">
        <v>10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4">
        <v>12000</v>
      </c>
      <c r="P10" s="5">
        <v>46820</v>
      </c>
      <c r="R10" s="18" t="s">
        <v>214</v>
      </c>
      <c r="S10" s="19">
        <v>6000</v>
      </c>
    </row>
    <row r="11" spans="1:19" s="10" customFormat="1" ht="15" customHeight="1" outlineLevel="5" x14ac:dyDescent="0.2">
      <c r="A11" s="38" t="s">
        <v>11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8">
        <v>12000</v>
      </c>
      <c r="P11" s="9">
        <v>46820</v>
      </c>
      <c r="R11" s="18" t="s">
        <v>221</v>
      </c>
      <c r="S11" s="19">
        <v>5000</v>
      </c>
    </row>
    <row r="12" spans="1:19" s="3" customFormat="1" ht="15" customHeight="1" x14ac:dyDescent="0.2">
      <c r="A12" s="37" t="s">
        <v>12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4">
        <v>40000</v>
      </c>
      <c r="P12" s="5">
        <v>151697.75</v>
      </c>
      <c r="R12" s="24" t="s">
        <v>215</v>
      </c>
      <c r="S12" s="19">
        <f>SUM(O44,O115,O162,O236,O237,O311,O312)</f>
        <v>18000</v>
      </c>
    </row>
    <row r="13" spans="1:19" s="10" customFormat="1" ht="15" customHeight="1" outlineLevel="5" x14ac:dyDescent="0.2">
      <c r="A13" s="38" t="s">
        <v>11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8">
        <v>20000</v>
      </c>
      <c r="P13" s="9">
        <v>82468.740000000005</v>
      </c>
      <c r="R13" s="24" t="s">
        <v>223</v>
      </c>
      <c r="S13" s="19">
        <v>5000</v>
      </c>
    </row>
    <row r="14" spans="1:19" s="10" customFormat="1" ht="13.5" customHeight="1" outlineLevel="5" x14ac:dyDescent="0.2">
      <c r="A14" s="42" t="s">
        <v>243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>
        <v>17000</v>
      </c>
      <c r="P14" s="44">
        <v>56992.99</v>
      </c>
      <c r="R14" s="24" t="s">
        <v>244</v>
      </c>
      <c r="S14" s="19">
        <v>500</v>
      </c>
    </row>
    <row r="15" spans="1:19" s="10" customFormat="1" ht="12" customHeight="1" outlineLevel="5" x14ac:dyDescent="0.2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44"/>
      <c r="R15" s="15" t="s">
        <v>32</v>
      </c>
      <c r="S15" s="19">
        <f>SUM(O36,O46,O116,O164,O197,O216,O254,O273)</f>
        <v>59000</v>
      </c>
    </row>
    <row r="16" spans="1:19" s="10" customFormat="1" ht="15" customHeight="1" outlineLevel="5" x14ac:dyDescent="0.2">
      <c r="A16" s="38" t="s">
        <v>13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8">
        <v>3000</v>
      </c>
      <c r="P16" s="9">
        <v>12236.02</v>
      </c>
      <c r="R16" s="15" t="s">
        <v>11</v>
      </c>
      <c r="S16" s="19">
        <f>SUM(O11,O20,O42,O64,O207,O227,O248,O288,O294,O297,O13)</f>
        <v>73475</v>
      </c>
    </row>
    <row r="17" spans="1:19" s="3" customFormat="1" ht="15" customHeight="1" x14ac:dyDescent="0.2">
      <c r="A17" s="37" t="s">
        <v>14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4">
        <v>2500</v>
      </c>
      <c r="P17" s="5">
        <v>15450</v>
      </c>
      <c r="R17" s="15" t="s">
        <v>216</v>
      </c>
      <c r="S17" s="18">
        <v>100</v>
      </c>
    </row>
    <row r="18" spans="1:19" s="10" customFormat="1" ht="15" customHeight="1" outlineLevel="5" x14ac:dyDescent="0.2">
      <c r="A18" s="38" t="s">
        <v>15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8">
        <v>2500</v>
      </c>
      <c r="P18" s="9">
        <v>15450</v>
      </c>
      <c r="R18" s="15" t="s">
        <v>27</v>
      </c>
      <c r="S18" s="19">
        <f>SUM(O31,O47,O118,O172,O186,O205,O214,O244,O255,O284,O314,O295)</f>
        <v>7175</v>
      </c>
    </row>
    <row r="19" spans="1:19" s="3" customFormat="1" ht="15" customHeight="1" x14ac:dyDescent="0.2">
      <c r="A19" s="37" t="s">
        <v>16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4">
        <v>12000</v>
      </c>
      <c r="P19" s="5">
        <v>46800</v>
      </c>
      <c r="R19" s="15" t="s">
        <v>34</v>
      </c>
      <c r="S19" s="32">
        <f>SUM(O38,O73,O83,O188,O192,O210,O243,O258,O268,O290)</f>
        <v>541</v>
      </c>
    </row>
    <row r="20" spans="1:19" s="10" customFormat="1" ht="15" customHeight="1" outlineLevel="5" x14ac:dyDescent="0.2">
      <c r="A20" s="38" t="s">
        <v>11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8">
        <v>12000</v>
      </c>
      <c r="P20" s="9">
        <v>46800</v>
      </c>
      <c r="R20" s="15" t="s">
        <v>127</v>
      </c>
      <c r="S20" s="19">
        <v>1900</v>
      </c>
    </row>
    <row r="21" spans="1:19" s="3" customFormat="1" ht="15" customHeight="1" x14ac:dyDescent="0.2">
      <c r="A21" s="37" t="s">
        <v>17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">
        <v>7150</v>
      </c>
      <c r="P21" s="5">
        <v>19470.5</v>
      </c>
      <c r="R21" s="15" t="s">
        <v>33</v>
      </c>
      <c r="S21" s="19">
        <f>SUM(O37,O117,O169,O190,O218,O238,O246,O265,O280)</f>
        <v>8600</v>
      </c>
    </row>
    <row r="22" spans="1:19" s="10" customFormat="1" ht="15" customHeight="1" outlineLevel="6" x14ac:dyDescent="0.2">
      <c r="A22" s="36" t="s">
        <v>18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8">
        <v>2150</v>
      </c>
      <c r="P22" s="9">
        <v>3590.5</v>
      </c>
      <c r="R22" s="15" t="s">
        <v>181</v>
      </c>
      <c r="S22" s="19">
        <v>400</v>
      </c>
    </row>
    <row r="23" spans="1:19" s="10" customFormat="1" ht="15" customHeight="1" outlineLevel="6" x14ac:dyDescent="0.2">
      <c r="A23" s="36" t="s">
        <v>19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8">
        <v>3000</v>
      </c>
      <c r="P23" s="9">
        <v>4980</v>
      </c>
      <c r="R23" s="20" t="s">
        <v>217</v>
      </c>
      <c r="S23" s="21">
        <f>SUM(S24:S26)</f>
        <v>94675</v>
      </c>
    </row>
    <row r="24" spans="1:19" s="10" customFormat="1" ht="15" customHeight="1" outlineLevel="5" x14ac:dyDescent="0.2">
      <c r="A24" s="38" t="s">
        <v>20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8">
        <v>1000</v>
      </c>
      <c r="P24" s="9">
        <v>5450</v>
      </c>
      <c r="R24" s="18" t="s">
        <v>218</v>
      </c>
      <c r="S24" s="19">
        <f>SUM(O33,O121,O122)</f>
        <v>17000</v>
      </c>
    </row>
    <row r="25" spans="1:19" s="10" customFormat="1" ht="15" customHeight="1" outlineLevel="5" x14ac:dyDescent="0.2">
      <c r="A25" s="38" t="s">
        <v>21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8">
        <v>1000</v>
      </c>
      <c r="P25" s="9">
        <v>5450</v>
      </c>
      <c r="R25" s="18" t="s">
        <v>219</v>
      </c>
      <c r="S25" s="19">
        <f>SUM(O63,O123,O126,O127,O177,O178,O183,O184,O278)</f>
        <v>45000</v>
      </c>
    </row>
    <row r="26" spans="1:19" s="3" customFormat="1" ht="15" customHeight="1" x14ac:dyDescent="0.2">
      <c r="A26" s="37" t="s">
        <v>22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4">
        <v>19900</v>
      </c>
      <c r="P26" s="5">
        <v>125662</v>
      </c>
      <c r="R26" s="18" t="s">
        <v>220</v>
      </c>
      <c r="S26" s="19">
        <f>SUM(O22,O23,O90,O91,O120,O225,O299)</f>
        <v>32675</v>
      </c>
    </row>
    <row r="27" spans="1:19" s="10" customFormat="1" ht="15" customHeight="1" outlineLevel="5" x14ac:dyDescent="0.2">
      <c r="A27" s="38" t="s">
        <v>23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8">
        <v>3000</v>
      </c>
      <c r="P27" s="9">
        <v>26100</v>
      </c>
      <c r="R27" s="20" t="s">
        <v>5</v>
      </c>
      <c r="S27" s="21">
        <f>SUM(S5,S23,S15,S16,S17,S18,S19,S20,S21,S22)</f>
        <v>824291</v>
      </c>
    </row>
    <row r="28" spans="1:19" s="10" customFormat="1" ht="15" customHeight="1" outlineLevel="5" x14ac:dyDescent="0.2">
      <c r="A28" s="38" t="s">
        <v>24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8">
        <v>3500</v>
      </c>
      <c r="P28" s="9">
        <v>23870</v>
      </c>
      <c r="R28" s="18"/>
    </row>
    <row r="29" spans="1:19" s="10" customFormat="1" ht="15" customHeight="1" outlineLevel="5" x14ac:dyDescent="0.2">
      <c r="A29" s="38" t="s">
        <v>25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8">
        <v>8000</v>
      </c>
      <c r="P29" s="9">
        <v>37600</v>
      </c>
      <c r="R29" s="18"/>
    </row>
    <row r="30" spans="1:19" s="10" customFormat="1" ht="15" customHeight="1" outlineLevel="5" x14ac:dyDescent="0.2">
      <c r="A30" s="38" t="s">
        <v>26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8">
        <v>4000</v>
      </c>
      <c r="P30" s="9">
        <v>18800</v>
      </c>
      <c r="R30" s="18"/>
    </row>
    <row r="31" spans="1:19" s="10" customFormat="1" ht="15" customHeight="1" outlineLevel="5" x14ac:dyDescent="0.2">
      <c r="A31" s="38" t="s">
        <v>27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8">
        <v>1400</v>
      </c>
      <c r="P31" s="9">
        <v>19292</v>
      </c>
      <c r="R31" s="20"/>
    </row>
    <row r="32" spans="1:19" s="3" customFormat="1" ht="15" customHeight="1" x14ac:dyDescent="0.2">
      <c r="A32" s="37" t="s">
        <v>28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4">
        <v>23500</v>
      </c>
      <c r="P32" s="5">
        <v>103082</v>
      </c>
      <c r="R32" s="10"/>
    </row>
    <row r="33" spans="1:18" s="23" customFormat="1" ht="15" customHeight="1" outlineLevel="5" x14ac:dyDescent="0.2">
      <c r="A33" s="49" t="s">
        <v>29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50">
        <v>7000</v>
      </c>
      <c r="P33" s="51">
        <v>17290</v>
      </c>
    </row>
    <row r="34" spans="1:18" s="10" customFormat="1" ht="15" customHeight="1" outlineLevel="5" x14ac:dyDescent="0.2">
      <c r="A34" s="38" t="s">
        <v>30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8">
        <v>8000</v>
      </c>
      <c r="P34" s="9">
        <v>16960</v>
      </c>
    </row>
    <row r="35" spans="1:18" s="10" customFormat="1" ht="15" customHeight="1" outlineLevel="5" x14ac:dyDescent="0.2">
      <c r="A35" s="38" t="s">
        <v>31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8">
        <v>1000</v>
      </c>
      <c r="P35" s="9">
        <v>1790</v>
      </c>
    </row>
    <row r="36" spans="1:18" s="10" customFormat="1" ht="15" customHeight="1" outlineLevel="4" x14ac:dyDescent="0.2">
      <c r="A36" s="39" t="s">
        <v>32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8">
        <v>7000</v>
      </c>
      <c r="P36" s="9">
        <v>54600</v>
      </c>
    </row>
    <row r="37" spans="1:18" s="10" customFormat="1" ht="15" customHeight="1" outlineLevel="4" x14ac:dyDescent="0.2">
      <c r="A37" s="39" t="s">
        <v>33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11">
        <v>450</v>
      </c>
      <c r="P37" s="9">
        <v>4130</v>
      </c>
    </row>
    <row r="38" spans="1:18" s="10" customFormat="1" ht="15" customHeight="1" outlineLevel="4" x14ac:dyDescent="0.2">
      <c r="A38" s="39" t="s">
        <v>34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11">
        <v>50</v>
      </c>
      <c r="P38" s="9">
        <v>8312</v>
      </c>
    </row>
    <row r="39" spans="1:18" s="3" customFormat="1" ht="15" customHeight="1" x14ac:dyDescent="0.2">
      <c r="A39" s="37" t="s">
        <v>35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4">
        <v>1500</v>
      </c>
      <c r="P39" s="5">
        <v>6855</v>
      </c>
      <c r="R39" s="10"/>
    </row>
    <row r="40" spans="1:18" s="10" customFormat="1" ht="15" customHeight="1" outlineLevel="5" x14ac:dyDescent="0.2">
      <c r="A40" s="38" t="s">
        <v>36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8">
        <v>1500</v>
      </c>
      <c r="P40" s="9">
        <v>6855</v>
      </c>
    </row>
    <row r="41" spans="1:18" s="3" customFormat="1" ht="15" customHeight="1" x14ac:dyDescent="0.2">
      <c r="A41" s="37" t="s">
        <v>37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12">
        <v>250</v>
      </c>
      <c r="P41" s="13">
        <v>975</v>
      </c>
      <c r="R41" s="10"/>
    </row>
    <row r="42" spans="1:18" s="10" customFormat="1" ht="15" customHeight="1" outlineLevel="5" x14ac:dyDescent="0.2">
      <c r="A42" s="38" t="s">
        <v>11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11">
        <v>250</v>
      </c>
      <c r="P42" s="14">
        <v>975</v>
      </c>
    </row>
    <row r="43" spans="1:18" s="10" customFormat="1" ht="15" customHeight="1" x14ac:dyDescent="0.2">
      <c r="A43" s="37" t="s">
        <v>38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4">
        <v>6000</v>
      </c>
      <c r="P43" s="5">
        <v>47160</v>
      </c>
    </row>
    <row r="44" spans="1:18" ht="15" customHeight="1" outlineLevel="5" x14ac:dyDescent="0.2">
      <c r="A44" s="38" t="s">
        <v>39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8">
        <v>6000</v>
      </c>
      <c r="P44" s="9">
        <v>47160</v>
      </c>
    </row>
    <row r="45" spans="1:18" s="3" customFormat="1" ht="15" customHeight="1" x14ac:dyDescent="0.2">
      <c r="A45" s="37" t="s">
        <v>40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4">
        <v>6000</v>
      </c>
      <c r="P45" s="5">
        <v>50810</v>
      </c>
      <c r="R45" s="10"/>
    </row>
    <row r="46" spans="1:18" s="10" customFormat="1" ht="15" customHeight="1" outlineLevel="4" x14ac:dyDescent="0.2">
      <c r="A46" s="39" t="s">
        <v>32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8">
        <v>5000</v>
      </c>
      <c r="P46" s="9">
        <v>37000</v>
      </c>
    </row>
    <row r="47" spans="1:18" s="10" customFormat="1" ht="15" customHeight="1" outlineLevel="5" x14ac:dyDescent="0.2">
      <c r="A47" s="38" t="s">
        <v>27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8">
        <v>1000</v>
      </c>
      <c r="P47" s="9">
        <v>13810</v>
      </c>
    </row>
    <row r="48" spans="1:18" s="10" customFormat="1" ht="15" customHeight="1" x14ac:dyDescent="0.2">
      <c r="A48" s="37" t="s">
        <v>41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4">
        <v>43000</v>
      </c>
      <c r="P48" s="5">
        <v>85180</v>
      </c>
    </row>
    <row r="49" spans="1:18" s="10" customFormat="1" ht="15" customHeight="1" outlineLevel="5" x14ac:dyDescent="0.2">
      <c r="A49" s="38" t="s">
        <v>42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8">
        <v>2000</v>
      </c>
      <c r="P49" s="9">
        <v>5800</v>
      </c>
    </row>
    <row r="50" spans="1:18" s="10" customFormat="1" ht="15" customHeight="1" outlineLevel="5" x14ac:dyDescent="0.2">
      <c r="A50" s="38" t="s">
        <v>43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8">
        <v>6000</v>
      </c>
      <c r="P50" s="9">
        <v>17400</v>
      </c>
    </row>
    <row r="51" spans="1:18" s="23" customFormat="1" ht="15" customHeight="1" outlineLevel="5" x14ac:dyDescent="0.2">
      <c r="A51" s="49" t="s">
        <v>44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50">
        <v>3000</v>
      </c>
      <c r="P51" s="51">
        <v>4620</v>
      </c>
    </row>
    <row r="52" spans="1:18" s="23" customFormat="1" ht="15" customHeight="1" outlineLevel="5" x14ac:dyDescent="0.2">
      <c r="A52" s="49" t="s">
        <v>45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50">
        <v>3000</v>
      </c>
      <c r="P52" s="51">
        <v>4620</v>
      </c>
    </row>
    <row r="53" spans="1:18" s="23" customFormat="1" ht="15" customHeight="1" outlineLevel="5" x14ac:dyDescent="0.2">
      <c r="A53" s="49" t="s">
        <v>46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50">
        <v>3000</v>
      </c>
      <c r="P53" s="51">
        <v>8280</v>
      </c>
    </row>
    <row r="54" spans="1:18" s="10" customFormat="1" ht="15" customHeight="1" outlineLevel="5" x14ac:dyDescent="0.2">
      <c r="A54" s="38" t="s">
        <v>47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8">
        <v>23000</v>
      </c>
      <c r="P54" s="9">
        <v>39330</v>
      </c>
    </row>
    <row r="55" spans="1:18" s="10" customFormat="1" ht="15" customHeight="1" outlineLevel="5" x14ac:dyDescent="0.2">
      <c r="A55" s="38" t="s">
        <v>9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8">
        <v>2500</v>
      </c>
      <c r="P55" s="9">
        <v>4275</v>
      </c>
    </row>
    <row r="56" spans="1:18" s="10" customFormat="1" ht="15" customHeight="1" outlineLevel="5" x14ac:dyDescent="0.2">
      <c r="A56" s="38" t="s">
        <v>48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11">
        <v>500</v>
      </c>
      <c r="P56" s="14">
        <v>855</v>
      </c>
    </row>
    <row r="57" spans="1:18" s="3" customFormat="1" ht="15" customHeight="1" x14ac:dyDescent="0.2">
      <c r="A57" s="37" t="s">
        <v>49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4">
        <v>19300</v>
      </c>
      <c r="P57" s="5">
        <v>78492</v>
      </c>
      <c r="R57" s="10"/>
    </row>
    <row r="58" spans="1:18" s="10" customFormat="1" ht="15" customHeight="1" outlineLevel="5" x14ac:dyDescent="0.2">
      <c r="A58" s="38" t="s">
        <v>50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8">
        <v>1500</v>
      </c>
      <c r="P58" s="9">
        <v>20520</v>
      </c>
    </row>
    <row r="59" spans="1:18" s="10" customFormat="1" ht="15" customHeight="1" outlineLevel="5" x14ac:dyDescent="0.2">
      <c r="A59" s="38" t="s">
        <v>51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8">
        <v>2000</v>
      </c>
      <c r="P59" s="9">
        <v>10600</v>
      </c>
    </row>
    <row r="60" spans="1:18" s="10" customFormat="1" ht="15" customHeight="1" outlineLevel="5" x14ac:dyDescent="0.2">
      <c r="A60" s="38" t="s">
        <v>52</v>
      </c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8">
        <v>3800</v>
      </c>
      <c r="P60" s="9">
        <v>8892</v>
      </c>
    </row>
    <row r="61" spans="1:18" s="10" customFormat="1" ht="15" customHeight="1" outlineLevel="5" x14ac:dyDescent="0.2">
      <c r="A61" s="38" t="s">
        <v>53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8">
        <v>2000</v>
      </c>
      <c r="P61" s="9">
        <v>6220</v>
      </c>
    </row>
    <row r="62" spans="1:18" s="10" customFormat="1" ht="15" customHeight="1" outlineLevel="5" x14ac:dyDescent="0.2">
      <c r="A62" s="38" t="s">
        <v>54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8">
        <v>2000</v>
      </c>
      <c r="P62" s="9">
        <v>5420</v>
      </c>
    </row>
    <row r="63" spans="1:18" s="23" customFormat="1" ht="15" customHeight="1" outlineLevel="5" x14ac:dyDescent="0.2">
      <c r="A63" s="49" t="s">
        <v>55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50">
        <v>4000</v>
      </c>
      <c r="P63" s="51">
        <v>11200</v>
      </c>
    </row>
    <row r="64" spans="1:18" s="10" customFormat="1" ht="15" customHeight="1" outlineLevel="5" x14ac:dyDescent="0.2">
      <c r="A64" s="38" t="s">
        <v>11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8">
        <v>4000</v>
      </c>
      <c r="P64" s="9">
        <v>15640</v>
      </c>
    </row>
    <row r="65" spans="1:18" s="3" customFormat="1" ht="15" customHeight="1" x14ac:dyDescent="0.2">
      <c r="A65" s="37" t="s">
        <v>56</v>
      </c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12">
        <v>100</v>
      </c>
      <c r="P65" s="5">
        <v>5300</v>
      </c>
      <c r="R65" s="10"/>
    </row>
    <row r="66" spans="1:18" s="10" customFormat="1" ht="15" customHeight="1" outlineLevel="5" x14ac:dyDescent="0.2">
      <c r="A66" s="38" t="s">
        <v>57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11">
        <v>100</v>
      </c>
      <c r="P66" s="9">
        <v>5300</v>
      </c>
    </row>
    <row r="67" spans="1:18" s="3" customFormat="1" ht="15" customHeight="1" x14ac:dyDescent="0.2">
      <c r="A67" s="37" t="s">
        <v>58</v>
      </c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4">
        <v>14000</v>
      </c>
      <c r="P67" s="5">
        <v>68700</v>
      </c>
      <c r="R67" s="10"/>
    </row>
    <row r="68" spans="1:18" s="10" customFormat="1" ht="15" customHeight="1" outlineLevel="5" x14ac:dyDescent="0.2">
      <c r="A68" s="38" t="s">
        <v>59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8">
        <v>5000</v>
      </c>
      <c r="P68" s="9">
        <v>24300</v>
      </c>
    </row>
    <row r="69" spans="1:18" s="10" customFormat="1" ht="15" customHeight="1" outlineLevel="5" x14ac:dyDescent="0.2">
      <c r="A69" s="38" t="s">
        <v>60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8">
        <v>5000</v>
      </c>
      <c r="P69" s="9">
        <v>24300</v>
      </c>
    </row>
    <row r="70" spans="1:18" s="10" customFormat="1" ht="15" customHeight="1" outlineLevel="5" x14ac:dyDescent="0.2">
      <c r="A70" s="38" t="s">
        <v>61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8">
        <v>3000</v>
      </c>
      <c r="P70" s="9">
        <v>16650</v>
      </c>
    </row>
    <row r="71" spans="1:18" s="10" customFormat="1" ht="15" customHeight="1" outlineLevel="5" x14ac:dyDescent="0.2">
      <c r="A71" s="38" t="s">
        <v>62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8">
        <v>1000</v>
      </c>
      <c r="P71" s="9">
        <v>3450</v>
      </c>
    </row>
    <row r="72" spans="1:18" s="3" customFormat="1" ht="15" customHeight="1" x14ac:dyDescent="0.2">
      <c r="A72" s="37" t="s">
        <v>63</v>
      </c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12">
        <v>2</v>
      </c>
      <c r="P72" s="13">
        <v>375.84</v>
      </c>
      <c r="R72" s="10"/>
    </row>
    <row r="73" spans="1:18" s="10" customFormat="1" ht="15" customHeight="1" outlineLevel="4" x14ac:dyDescent="0.2">
      <c r="A73" s="39" t="s">
        <v>34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11">
        <v>2</v>
      </c>
      <c r="P73" s="14">
        <v>375.84</v>
      </c>
    </row>
    <row r="74" spans="1:18" s="3" customFormat="1" ht="15" customHeight="1" x14ac:dyDescent="0.2">
      <c r="A74" s="37" t="s">
        <v>64</v>
      </c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4">
        <v>12100</v>
      </c>
      <c r="P74" s="5">
        <v>83742</v>
      </c>
      <c r="R74" s="10"/>
    </row>
    <row r="75" spans="1:18" s="10" customFormat="1" ht="15" customHeight="1" outlineLevel="5" x14ac:dyDescent="0.2">
      <c r="A75" s="38" t="s">
        <v>65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8">
        <v>1000</v>
      </c>
      <c r="P75" s="9">
        <v>17500</v>
      </c>
    </row>
    <row r="76" spans="1:18" s="10" customFormat="1" ht="15" customHeight="1" outlineLevel="5" x14ac:dyDescent="0.2">
      <c r="A76" s="38" t="s">
        <v>66</v>
      </c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8">
        <v>1000</v>
      </c>
      <c r="P76" s="9">
        <v>6180</v>
      </c>
    </row>
    <row r="77" spans="1:18" s="10" customFormat="1" ht="15" customHeight="1" outlineLevel="5" x14ac:dyDescent="0.2">
      <c r="A77" s="38" t="s">
        <v>67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8">
        <v>1000</v>
      </c>
      <c r="P77" s="9">
        <v>4050</v>
      </c>
    </row>
    <row r="78" spans="1:18" s="10" customFormat="1" ht="15" customHeight="1" outlineLevel="5" x14ac:dyDescent="0.2">
      <c r="A78" s="38" t="s">
        <v>68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8">
        <v>2000</v>
      </c>
      <c r="P78" s="9">
        <v>6840</v>
      </c>
    </row>
    <row r="79" spans="1:18" s="10" customFormat="1" ht="15" customHeight="1" outlineLevel="5" x14ac:dyDescent="0.2">
      <c r="A79" s="38" t="s">
        <v>69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8">
        <v>2000</v>
      </c>
      <c r="P79" s="9">
        <v>6840</v>
      </c>
    </row>
    <row r="80" spans="1:18" s="10" customFormat="1" ht="15" customHeight="1" outlineLevel="5" x14ac:dyDescent="0.2">
      <c r="A80" s="38" t="s">
        <v>70</v>
      </c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11">
        <v>125</v>
      </c>
      <c r="P80" s="14">
        <v>912.5</v>
      </c>
    </row>
    <row r="81" spans="1:18" s="10" customFormat="1" ht="15" customHeight="1" outlineLevel="5" x14ac:dyDescent="0.2">
      <c r="A81" s="38" t="s">
        <v>71</v>
      </c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8">
        <v>1875</v>
      </c>
      <c r="P81" s="9">
        <v>13687.5</v>
      </c>
    </row>
    <row r="82" spans="1:18" s="10" customFormat="1" ht="15" customHeight="1" outlineLevel="5" x14ac:dyDescent="0.2">
      <c r="A82" s="38" t="s">
        <v>72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8">
        <v>3000</v>
      </c>
      <c r="P82" s="9">
        <v>8940</v>
      </c>
    </row>
    <row r="83" spans="1:18" s="10" customFormat="1" ht="15" customHeight="1" outlineLevel="4" x14ac:dyDescent="0.2">
      <c r="A83" s="39" t="s">
        <v>34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11">
        <v>100</v>
      </c>
      <c r="P83" s="9">
        <v>18792</v>
      </c>
    </row>
    <row r="84" spans="1:18" ht="15" customHeight="1" x14ac:dyDescent="0.2">
      <c r="A84" s="37" t="s">
        <v>73</v>
      </c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12">
        <v>800</v>
      </c>
      <c r="P84" s="5">
        <v>1686</v>
      </c>
    </row>
    <row r="85" spans="1:18" s="10" customFormat="1" ht="15" customHeight="1" outlineLevel="5" x14ac:dyDescent="0.2">
      <c r="A85" s="38" t="s">
        <v>52</v>
      </c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11">
        <v>600</v>
      </c>
      <c r="P85" s="9">
        <v>1380</v>
      </c>
    </row>
    <row r="86" spans="1:18" s="10" customFormat="1" ht="15" customHeight="1" outlineLevel="5" x14ac:dyDescent="0.2">
      <c r="A86" s="38" t="s">
        <v>74</v>
      </c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11">
        <v>200</v>
      </c>
      <c r="P86" s="14">
        <v>306</v>
      </c>
    </row>
    <row r="87" spans="1:18" s="3" customFormat="1" ht="15" customHeight="1" x14ac:dyDescent="0.2">
      <c r="A87" s="37" t="s">
        <v>75</v>
      </c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4">
        <v>8000</v>
      </c>
      <c r="P87" s="5">
        <v>24960</v>
      </c>
      <c r="R87" s="10"/>
    </row>
    <row r="88" spans="1:18" ht="15" customHeight="1" outlineLevel="5" x14ac:dyDescent="0.2">
      <c r="A88" s="38" t="s">
        <v>76</v>
      </c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8">
        <v>8000</v>
      </c>
      <c r="P88" s="9">
        <v>24960</v>
      </c>
    </row>
    <row r="89" spans="1:18" s="3" customFormat="1" ht="15" customHeight="1" x14ac:dyDescent="0.2">
      <c r="A89" s="37" t="s">
        <v>79</v>
      </c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4">
        <v>6200</v>
      </c>
      <c r="P89" s="5">
        <v>9136</v>
      </c>
      <c r="R89" s="10"/>
    </row>
    <row r="90" spans="1:18" s="10" customFormat="1" ht="15" customHeight="1" outlineLevel="6" x14ac:dyDescent="0.2">
      <c r="A90" s="36" t="s">
        <v>77</v>
      </c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8">
        <v>2200</v>
      </c>
      <c r="P90" s="9">
        <v>3256</v>
      </c>
    </row>
    <row r="91" spans="1:18" s="10" customFormat="1" ht="15" customHeight="1" outlineLevel="6" x14ac:dyDescent="0.2">
      <c r="A91" s="36" t="s">
        <v>80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8">
        <v>4000</v>
      </c>
      <c r="P91" s="9">
        <v>5880</v>
      </c>
    </row>
    <row r="92" spans="1:18" s="3" customFormat="1" ht="15" customHeight="1" x14ac:dyDescent="0.2">
      <c r="A92" s="37" t="s">
        <v>79</v>
      </c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4">
        <v>114175</v>
      </c>
      <c r="P92" s="5">
        <v>414099.25</v>
      </c>
      <c r="R92" s="10"/>
    </row>
    <row r="93" spans="1:18" s="10" customFormat="1" ht="15" customHeight="1" outlineLevel="5" x14ac:dyDescent="0.2">
      <c r="A93" s="38" t="s">
        <v>81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8">
        <v>2000</v>
      </c>
      <c r="P93" s="9">
        <v>4760</v>
      </c>
    </row>
    <row r="94" spans="1:18" s="10" customFormat="1" ht="15" customHeight="1" outlineLevel="5" x14ac:dyDescent="0.2">
      <c r="A94" s="38" t="s">
        <v>82</v>
      </c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8">
        <v>5000</v>
      </c>
      <c r="P94" s="9">
        <v>18450</v>
      </c>
    </row>
    <row r="95" spans="1:18" s="10" customFormat="1" ht="15" customHeight="1" outlineLevel="5" x14ac:dyDescent="0.2">
      <c r="A95" s="38" t="s">
        <v>83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8">
        <v>3000</v>
      </c>
      <c r="P95" s="9">
        <v>10530</v>
      </c>
    </row>
    <row r="96" spans="1:18" s="10" customFormat="1" ht="15" customHeight="1" outlineLevel="5" x14ac:dyDescent="0.2">
      <c r="A96" s="38" t="s">
        <v>84</v>
      </c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8">
        <v>1000</v>
      </c>
      <c r="P96" s="9">
        <v>2640</v>
      </c>
    </row>
    <row r="97" spans="1:16" s="10" customFormat="1" ht="15" customHeight="1" outlineLevel="5" x14ac:dyDescent="0.2">
      <c r="A97" s="38" t="s">
        <v>85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8">
        <v>1000</v>
      </c>
      <c r="P97" s="9">
        <v>2730</v>
      </c>
    </row>
    <row r="98" spans="1:16" s="10" customFormat="1" ht="15" customHeight="1" outlineLevel="5" x14ac:dyDescent="0.2">
      <c r="A98" s="38" t="s">
        <v>86</v>
      </c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8">
        <v>3000</v>
      </c>
      <c r="P98" s="9">
        <v>8370</v>
      </c>
    </row>
    <row r="99" spans="1:16" s="10" customFormat="1" ht="15" customHeight="1" outlineLevel="5" x14ac:dyDescent="0.2">
      <c r="A99" s="38" t="s">
        <v>87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8">
        <v>3000</v>
      </c>
      <c r="P99" s="9">
        <v>11070</v>
      </c>
    </row>
    <row r="100" spans="1:16" s="10" customFormat="1" ht="15" customHeight="1" outlineLevel="5" x14ac:dyDescent="0.2">
      <c r="A100" s="38" t="s">
        <v>88</v>
      </c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8">
        <v>4000</v>
      </c>
      <c r="P100" s="9">
        <v>14760</v>
      </c>
    </row>
    <row r="101" spans="1:16" s="10" customFormat="1" ht="15" customHeight="1" outlineLevel="5" x14ac:dyDescent="0.2">
      <c r="A101" s="38" t="s">
        <v>89</v>
      </c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8">
        <v>10000</v>
      </c>
      <c r="P101" s="9">
        <v>36900</v>
      </c>
    </row>
    <row r="102" spans="1:16" s="10" customFormat="1" ht="15" customHeight="1" outlineLevel="5" x14ac:dyDescent="0.2">
      <c r="A102" s="38" t="s">
        <v>71</v>
      </c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8">
        <v>5350</v>
      </c>
      <c r="P102" s="9">
        <v>31244</v>
      </c>
    </row>
    <row r="103" spans="1:16" s="10" customFormat="1" ht="15" customHeight="1" outlineLevel="5" x14ac:dyDescent="0.2">
      <c r="A103" s="38" t="s">
        <v>90</v>
      </c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11">
        <v>500</v>
      </c>
      <c r="P103" s="9">
        <v>2715</v>
      </c>
    </row>
    <row r="104" spans="1:16" s="10" customFormat="1" ht="15" customHeight="1" outlineLevel="5" x14ac:dyDescent="0.2">
      <c r="A104" s="38" t="s">
        <v>91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8">
        <v>2100</v>
      </c>
      <c r="P104" s="9">
        <v>11403</v>
      </c>
    </row>
    <row r="105" spans="1:16" s="10" customFormat="1" ht="15" customHeight="1" outlineLevel="5" x14ac:dyDescent="0.2">
      <c r="A105" s="38" t="s">
        <v>92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8">
        <v>1000</v>
      </c>
      <c r="P105" s="9">
        <v>5430</v>
      </c>
    </row>
    <row r="106" spans="1:16" s="10" customFormat="1" ht="15" customHeight="1" outlineLevel="5" x14ac:dyDescent="0.2">
      <c r="A106" s="38" t="s">
        <v>93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11">
        <v>500</v>
      </c>
      <c r="P106" s="9">
        <v>2715</v>
      </c>
    </row>
    <row r="107" spans="1:16" s="10" customFormat="1" ht="15" customHeight="1" outlineLevel="5" x14ac:dyDescent="0.2">
      <c r="A107" s="38" t="s">
        <v>94</v>
      </c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11">
        <v>500</v>
      </c>
      <c r="P107" s="9">
        <v>2715</v>
      </c>
    </row>
    <row r="108" spans="1:16" s="10" customFormat="1" ht="15" customHeight="1" outlineLevel="5" x14ac:dyDescent="0.2">
      <c r="A108" s="38" t="s">
        <v>95</v>
      </c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11">
        <v>500</v>
      </c>
      <c r="P108" s="9">
        <v>1180</v>
      </c>
    </row>
    <row r="109" spans="1:16" s="10" customFormat="1" ht="15" customHeight="1" outlineLevel="5" x14ac:dyDescent="0.2">
      <c r="A109" s="38" t="s">
        <v>96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8">
        <v>1000</v>
      </c>
      <c r="P109" s="9">
        <v>2090</v>
      </c>
    </row>
    <row r="110" spans="1:16" s="10" customFormat="1" ht="15" customHeight="1" outlineLevel="5" x14ac:dyDescent="0.2">
      <c r="A110" s="38" t="s">
        <v>97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8">
        <v>8875</v>
      </c>
      <c r="P110" s="9">
        <v>23075</v>
      </c>
    </row>
    <row r="111" spans="1:16" s="10" customFormat="1" ht="15" customHeight="1" outlineLevel="5" x14ac:dyDescent="0.2">
      <c r="A111" s="38" t="s">
        <v>98</v>
      </c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8">
        <v>13125</v>
      </c>
      <c r="P111" s="9">
        <v>34125</v>
      </c>
    </row>
    <row r="112" spans="1:16" s="10" customFormat="1" ht="15" customHeight="1" outlineLevel="5" x14ac:dyDescent="0.2">
      <c r="A112" s="38" t="s">
        <v>99</v>
      </c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8">
        <v>27375</v>
      </c>
      <c r="P112" s="9">
        <v>71175</v>
      </c>
    </row>
    <row r="113" spans="1:17" s="10" customFormat="1" ht="15" customHeight="1" outlineLevel="5" x14ac:dyDescent="0.2">
      <c r="A113" s="38" t="s">
        <v>100</v>
      </c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8">
        <v>5625</v>
      </c>
      <c r="P113" s="9">
        <v>14625</v>
      </c>
    </row>
    <row r="114" spans="1:17" s="10" customFormat="1" ht="15" customHeight="1" outlineLevel="5" x14ac:dyDescent="0.2">
      <c r="A114" s="38" t="s">
        <v>47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8">
        <v>3000</v>
      </c>
      <c r="P114" s="9">
        <v>5130</v>
      </c>
    </row>
    <row r="115" spans="1:17" s="10" customFormat="1" ht="15" customHeight="1" outlineLevel="5" x14ac:dyDescent="0.2">
      <c r="A115" s="38" t="s">
        <v>101</v>
      </c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8">
        <v>2000</v>
      </c>
      <c r="P115" s="9">
        <v>18840</v>
      </c>
    </row>
    <row r="116" spans="1:17" s="10" customFormat="1" ht="15" customHeight="1" outlineLevel="4" x14ac:dyDescent="0.2">
      <c r="A116" s="39" t="s">
        <v>32</v>
      </c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8">
        <v>10000</v>
      </c>
      <c r="P116" s="9">
        <v>68800</v>
      </c>
    </row>
    <row r="117" spans="1:17" s="10" customFormat="1" ht="15" customHeight="1" outlineLevel="4" x14ac:dyDescent="0.2">
      <c r="A117" s="39" t="s">
        <v>33</v>
      </c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11">
        <v>300</v>
      </c>
      <c r="P117" s="9">
        <v>2690</v>
      </c>
    </row>
    <row r="118" spans="1:17" s="10" customFormat="1" ht="15" customHeight="1" outlineLevel="5" x14ac:dyDescent="0.2">
      <c r="A118" s="38" t="s">
        <v>27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11">
        <v>425</v>
      </c>
      <c r="P118" s="9">
        <v>5937.25</v>
      </c>
    </row>
    <row r="119" spans="1:17" s="10" customFormat="1" ht="15" customHeight="1" x14ac:dyDescent="0.2">
      <c r="A119" s="37" t="s">
        <v>102</v>
      </c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4">
        <v>27325</v>
      </c>
      <c r="P119" s="5">
        <v>72447</v>
      </c>
    </row>
    <row r="120" spans="1:17" s="10" customFormat="1" ht="15" customHeight="1" outlineLevel="6" x14ac:dyDescent="0.2">
      <c r="A120" s="36" t="s">
        <v>103</v>
      </c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8">
        <v>4325</v>
      </c>
      <c r="P120" s="9">
        <v>6747</v>
      </c>
      <c r="Q120" s="18" t="s">
        <v>224</v>
      </c>
    </row>
    <row r="121" spans="1:17" s="23" customFormat="1" ht="15" customHeight="1" outlineLevel="5" x14ac:dyDescent="0.2">
      <c r="A121" s="49" t="s">
        <v>104</v>
      </c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50">
        <v>5000</v>
      </c>
      <c r="P121" s="51">
        <v>13250</v>
      </c>
      <c r="Q121" s="15" t="s">
        <v>225</v>
      </c>
    </row>
    <row r="122" spans="1:17" s="23" customFormat="1" ht="15" customHeight="1" outlineLevel="5" x14ac:dyDescent="0.2">
      <c r="A122" s="49" t="s">
        <v>29</v>
      </c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50">
        <v>5000</v>
      </c>
      <c r="P122" s="51">
        <v>13250</v>
      </c>
      <c r="Q122" s="15" t="s">
        <v>225</v>
      </c>
    </row>
    <row r="123" spans="1:17" s="23" customFormat="1" ht="15" customHeight="1" outlineLevel="5" x14ac:dyDescent="0.2">
      <c r="A123" s="49" t="s">
        <v>78</v>
      </c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50">
        <v>8000</v>
      </c>
      <c r="P123" s="51">
        <v>25200</v>
      </c>
      <c r="Q123" s="15"/>
    </row>
    <row r="124" spans="1:17" s="23" customFormat="1" ht="15" outlineLevel="6" x14ac:dyDescent="0.2">
      <c r="A124" s="52" t="s">
        <v>226</v>
      </c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0">
        <v>3000</v>
      </c>
      <c r="P124" s="51">
        <v>8400</v>
      </c>
      <c r="Q124" s="15"/>
    </row>
    <row r="125" spans="1:17" s="23" customFormat="1" ht="15" outlineLevel="6" x14ac:dyDescent="0.2">
      <c r="A125" s="52" t="s">
        <v>227</v>
      </c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0">
        <v>5000</v>
      </c>
      <c r="P125" s="51">
        <v>16800</v>
      </c>
      <c r="Q125" s="15"/>
    </row>
    <row r="126" spans="1:17" s="23" customFormat="1" ht="15" customHeight="1" outlineLevel="5" x14ac:dyDescent="0.2">
      <c r="A126" s="49" t="s">
        <v>55</v>
      </c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50">
        <v>3000</v>
      </c>
      <c r="P126" s="51">
        <v>8400</v>
      </c>
      <c r="Q126" s="15" t="s">
        <v>236</v>
      </c>
    </row>
    <row r="127" spans="1:17" s="23" customFormat="1" ht="15" customHeight="1" outlineLevel="5" x14ac:dyDescent="0.2">
      <c r="A127" s="49" t="s">
        <v>105</v>
      </c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50">
        <v>2000</v>
      </c>
      <c r="P127" s="51">
        <v>5600</v>
      </c>
      <c r="Q127" s="15" t="s">
        <v>228</v>
      </c>
    </row>
    <row r="128" spans="1:17" ht="15" customHeight="1" x14ac:dyDescent="0.2">
      <c r="A128" s="37" t="s">
        <v>102</v>
      </c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4">
        <v>128225</v>
      </c>
      <c r="P128" s="5">
        <v>695604</v>
      </c>
      <c r="Q128" s="15"/>
    </row>
    <row r="129" spans="1:17" s="10" customFormat="1" ht="15" customHeight="1" outlineLevel="5" x14ac:dyDescent="0.2">
      <c r="A129" s="38" t="s">
        <v>106</v>
      </c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8">
        <v>1500</v>
      </c>
      <c r="P129" s="9">
        <v>24615</v>
      </c>
      <c r="Q129" s="18" t="s">
        <v>227</v>
      </c>
    </row>
    <row r="130" spans="1:17" s="10" customFormat="1" ht="15" customHeight="1" outlineLevel="5" x14ac:dyDescent="0.2">
      <c r="A130" s="38" t="s">
        <v>107</v>
      </c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8">
        <v>1500</v>
      </c>
      <c r="P130" s="9">
        <v>24615</v>
      </c>
      <c r="Q130" s="18" t="s">
        <v>227</v>
      </c>
    </row>
    <row r="131" spans="1:17" s="10" customFormat="1" ht="15" customHeight="1" outlineLevel="5" x14ac:dyDescent="0.2">
      <c r="A131" s="38" t="s">
        <v>108</v>
      </c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8">
        <v>1500</v>
      </c>
      <c r="P131" s="9">
        <v>9270</v>
      </c>
      <c r="Q131" s="18" t="s">
        <v>229</v>
      </c>
    </row>
    <row r="132" spans="1:17" s="10" customFormat="1" ht="15" customHeight="1" outlineLevel="5" x14ac:dyDescent="0.2">
      <c r="A132" s="38" t="s">
        <v>109</v>
      </c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8">
        <v>5000</v>
      </c>
      <c r="P132" s="9">
        <v>24550</v>
      </c>
      <c r="Q132" s="18" t="s">
        <v>224</v>
      </c>
    </row>
    <row r="133" spans="1:17" s="10" customFormat="1" ht="15" customHeight="1" outlineLevel="5" x14ac:dyDescent="0.2">
      <c r="A133" s="38" t="s">
        <v>110</v>
      </c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8">
        <v>4000</v>
      </c>
      <c r="P133" s="9">
        <v>17200</v>
      </c>
      <c r="Q133" s="18" t="s">
        <v>230</v>
      </c>
    </row>
    <row r="134" spans="1:17" s="10" customFormat="1" ht="15" customHeight="1" outlineLevel="5" x14ac:dyDescent="0.2">
      <c r="A134" s="38" t="s">
        <v>111</v>
      </c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8">
        <v>3000</v>
      </c>
      <c r="P134" s="9">
        <v>7560</v>
      </c>
      <c r="Q134" s="18" t="s">
        <v>230</v>
      </c>
    </row>
    <row r="135" spans="1:17" s="10" customFormat="1" ht="15" customHeight="1" outlineLevel="5" x14ac:dyDescent="0.2">
      <c r="A135" s="38" t="s">
        <v>112</v>
      </c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8">
        <v>9600</v>
      </c>
      <c r="P135" s="9">
        <v>28512</v>
      </c>
      <c r="Q135" s="18" t="s">
        <v>231</v>
      </c>
    </row>
    <row r="136" spans="1:17" s="10" customFormat="1" ht="15" customHeight="1" outlineLevel="5" x14ac:dyDescent="0.2">
      <c r="A136" s="38" t="s">
        <v>113</v>
      </c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8">
        <v>1100</v>
      </c>
      <c r="P136" s="9">
        <v>22550</v>
      </c>
      <c r="Q136" s="18" t="s">
        <v>232</v>
      </c>
    </row>
    <row r="137" spans="1:17" s="10" customFormat="1" ht="15" customHeight="1" outlineLevel="5" x14ac:dyDescent="0.2">
      <c r="A137" s="38" t="s">
        <v>114</v>
      </c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8">
        <v>4000</v>
      </c>
      <c r="P137" s="9">
        <v>11040</v>
      </c>
      <c r="Q137" s="18" t="s">
        <v>233</v>
      </c>
    </row>
    <row r="138" spans="1:17" s="10" customFormat="1" ht="15" customHeight="1" outlineLevel="5" x14ac:dyDescent="0.2">
      <c r="A138" s="38" t="s">
        <v>115</v>
      </c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8">
        <v>1500</v>
      </c>
      <c r="P138" s="9">
        <v>11100</v>
      </c>
      <c r="Q138" s="18" t="s">
        <v>227</v>
      </c>
    </row>
    <row r="139" spans="1:17" s="10" customFormat="1" ht="15" customHeight="1" outlineLevel="5" x14ac:dyDescent="0.2">
      <c r="A139" s="38" t="s">
        <v>116</v>
      </c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8">
        <v>1500</v>
      </c>
      <c r="P139" s="9">
        <v>11100</v>
      </c>
      <c r="Q139" s="18" t="s">
        <v>227</v>
      </c>
    </row>
    <row r="140" spans="1:17" s="10" customFormat="1" ht="15" customHeight="1" outlineLevel="5" x14ac:dyDescent="0.2">
      <c r="A140" s="38" t="s">
        <v>117</v>
      </c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11">
        <v>500</v>
      </c>
      <c r="P140" s="9">
        <v>1750</v>
      </c>
      <c r="Q140" s="18" t="s">
        <v>234</v>
      </c>
    </row>
    <row r="141" spans="1:17" s="10" customFormat="1" ht="15" customHeight="1" outlineLevel="5" x14ac:dyDescent="0.2">
      <c r="A141" s="38" t="s">
        <v>118</v>
      </c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8">
        <v>1000</v>
      </c>
      <c r="P141" s="9">
        <v>3550</v>
      </c>
      <c r="Q141" s="18" t="s">
        <v>235</v>
      </c>
    </row>
    <row r="142" spans="1:17" s="10" customFormat="1" ht="15" customHeight="1" outlineLevel="5" x14ac:dyDescent="0.2">
      <c r="A142" s="38" t="s">
        <v>119</v>
      </c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8">
        <v>1500</v>
      </c>
      <c r="P142" s="9">
        <v>5130</v>
      </c>
      <c r="Q142" s="18" t="s">
        <v>236</v>
      </c>
    </row>
    <row r="143" spans="1:17" s="10" customFormat="1" ht="15" customHeight="1" outlineLevel="5" x14ac:dyDescent="0.2">
      <c r="A143" s="38" t="s">
        <v>120</v>
      </c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11">
        <v>425</v>
      </c>
      <c r="P143" s="9">
        <v>1453.5</v>
      </c>
      <c r="Q143" s="18" t="s">
        <v>229</v>
      </c>
    </row>
    <row r="144" spans="1:17" s="10" customFormat="1" ht="15" customHeight="1" outlineLevel="5" x14ac:dyDescent="0.2">
      <c r="A144" s="38" t="s">
        <v>71</v>
      </c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4">
        <v>2950</v>
      </c>
      <c r="P144" s="35">
        <v>21485</v>
      </c>
      <c r="Q144" s="18"/>
    </row>
    <row r="145" spans="1:17" s="28" customFormat="1" ht="15" outlineLevel="6" x14ac:dyDescent="0.2">
      <c r="A145" s="40" t="s">
        <v>238</v>
      </c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25">
        <v>500</v>
      </c>
      <c r="P145" s="26">
        <v>3600</v>
      </c>
      <c r="Q145" s="27"/>
    </row>
    <row r="146" spans="1:17" s="28" customFormat="1" ht="15" outlineLevel="6" x14ac:dyDescent="0.2">
      <c r="A146" s="40" t="s">
        <v>237</v>
      </c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25">
        <v>2000</v>
      </c>
      <c r="P146" s="26">
        <v>14600</v>
      </c>
      <c r="Q146" s="27"/>
    </row>
    <row r="147" spans="1:17" s="28" customFormat="1" ht="15" outlineLevel="6" x14ac:dyDescent="0.2">
      <c r="A147" s="40" t="s">
        <v>229</v>
      </c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25">
        <v>450</v>
      </c>
      <c r="P147" s="26">
        <v>3285</v>
      </c>
      <c r="Q147" s="27"/>
    </row>
    <row r="148" spans="1:17" s="30" customFormat="1" ht="15" customHeight="1" outlineLevel="5" x14ac:dyDescent="0.2">
      <c r="A148" s="41" t="s">
        <v>121</v>
      </c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25">
        <v>1300</v>
      </c>
      <c r="P148" s="26">
        <v>8735</v>
      </c>
      <c r="Q148" s="24"/>
    </row>
    <row r="149" spans="1:17" s="28" customFormat="1" ht="15" outlineLevel="6" x14ac:dyDescent="0.2">
      <c r="A149" s="40" t="s">
        <v>224</v>
      </c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25">
        <v>500</v>
      </c>
      <c r="P149" s="26">
        <v>3055</v>
      </c>
      <c r="Q149" s="27"/>
    </row>
    <row r="150" spans="1:17" s="28" customFormat="1" ht="15" outlineLevel="6" x14ac:dyDescent="0.2">
      <c r="A150" s="40" t="s">
        <v>239</v>
      </c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25">
        <v>800</v>
      </c>
      <c r="P150" s="26">
        <v>5680</v>
      </c>
      <c r="Q150" s="27"/>
    </row>
    <row r="151" spans="1:17" s="30" customFormat="1" ht="15" customHeight="1" outlineLevel="5" x14ac:dyDescent="0.2">
      <c r="A151" s="41" t="s">
        <v>90</v>
      </c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25">
        <v>3500</v>
      </c>
      <c r="P151" s="26">
        <v>22065</v>
      </c>
      <c r="Q151" s="24"/>
    </row>
    <row r="152" spans="1:17" s="30" customFormat="1" ht="15" outlineLevel="6" x14ac:dyDescent="0.2">
      <c r="A152" s="40" t="s">
        <v>224</v>
      </c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25">
        <v>2500</v>
      </c>
      <c r="P152" s="26">
        <v>15275</v>
      </c>
      <c r="Q152" s="24"/>
    </row>
    <row r="153" spans="1:17" s="30" customFormat="1" ht="15" outlineLevel="6" x14ac:dyDescent="0.2">
      <c r="A153" s="40" t="s">
        <v>229</v>
      </c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25">
        <v>1000</v>
      </c>
      <c r="P153" s="26">
        <v>6790</v>
      </c>
      <c r="Q153" s="24"/>
    </row>
    <row r="154" spans="1:17" s="30" customFormat="1" ht="15" customHeight="1" outlineLevel="5" x14ac:dyDescent="0.2">
      <c r="A154" s="41" t="s">
        <v>122</v>
      </c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31">
        <v>700</v>
      </c>
      <c r="P154" s="26">
        <v>4830</v>
      </c>
      <c r="Q154" s="24" t="s">
        <v>234</v>
      </c>
    </row>
    <row r="155" spans="1:17" s="30" customFormat="1" ht="15" customHeight="1" outlineLevel="5" x14ac:dyDescent="0.2">
      <c r="A155" s="41" t="s">
        <v>123</v>
      </c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25">
        <v>1000</v>
      </c>
      <c r="P155" s="26">
        <v>6790</v>
      </c>
      <c r="Q155" s="24" t="s">
        <v>237</v>
      </c>
    </row>
    <row r="156" spans="1:17" s="30" customFormat="1" ht="15" customHeight="1" outlineLevel="5" x14ac:dyDescent="0.2">
      <c r="A156" s="41" t="s">
        <v>97</v>
      </c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25">
        <v>10000</v>
      </c>
      <c r="P156" s="26">
        <v>32750</v>
      </c>
      <c r="Q156" s="24"/>
    </row>
    <row r="157" spans="1:17" s="28" customFormat="1" ht="15" outlineLevel="6" x14ac:dyDescent="0.2">
      <c r="A157" s="40" t="s">
        <v>240</v>
      </c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25">
        <v>5000</v>
      </c>
      <c r="P157" s="26">
        <v>16250</v>
      </c>
      <c r="Q157" s="27"/>
    </row>
    <row r="158" spans="1:17" s="28" customFormat="1" ht="15" outlineLevel="6" x14ac:dyDescent="0.2">
      <c r="A158" s="40" t="s">
        <v>235</v>
      </c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25">
        <v>5000</v>
      </c>
      <c r="P158" s="26">
        <v>16500</v>
      </c>
      <c r="Q158" s="27"/>
    </row>
    <row r="159" spans="1:17" s="10" customFormat="1" ht="15" customHeight="1" outlineLevel="5" x14ac:dyDescent="0.2">
      <c r="A159" s="38" t="s">
        <v>124</v>
      </c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4">
        <v>20000</v>
      </c>
      <c r="P159" s="35">
        <v>70600</v>
      </c>
      <c r="Q159" s="18" t="s">
        <v>224</v>
      </c>
    </row>
    <row r="160" spans="1:17" s="10" customFormat="1" ht="15" customHeight="1" outlineLevel="5" x14ac:dyDescent="0.2">
      <c r="A160" s="38" t="s">
        <v>125</v>
      </c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4">
        <v>20000</v>
      </c>
      <c r="P160" s="35">
        <v>70600</v>
      </c>
      <c r="Q160" s="18" t="s">
        <v>224</v>
      </c>
    </row>
    <row r="161" spans="1:18" s="10" customFormat="1" ht="15" customHeight="1" outlineLevel="5" x14ac:dyDescent="0.2">
      <c r="A161" s="38" t="s">
        <v>47</v>
      </c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4">
        <v>4000</v>
      </c>
      <c r="P161" s="35">
        <v>10600</v>
      </c>
      <c r="Q161" s="18" t="s">
        <v>239</v>
      </c>
    </row>
    <row r="162" spans="1:18" s="10" customFormat="1" ht="15" customHeight="1" outlineLevel="5" x14ac:dyDescent="0.2">
      <c r="A162" s="38" t="s">
        <v>126</v>
      </c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4">
        <v>1000</v>
      </c>
      <c r="P162" s="35">
        <v>12200</v>
      </c>
      <c r="Q162" s="18" t="s">
        <v>241</v>
      </c>
    </row>
    <row r="163" spans="1:18" s="10" customFormat="1" ht="15" customHeight="1" outlineLevel="5" x14ac:dyDescent="0.2">
      <c r="A163" s="38" t="s">
        <v>242</v>
      </c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4">
        <v>500</v>
      </c>
      <c r="P163" s="35">
        <v>12345</v>
      </c>
      <c r="Q163" s="18" t="s">
        <v>236</v>
      </c>
    </row>
    <row r="164" spans="1:18" s="30" customFormat="1" ht="15" customHeight="1" outlineLevel="4" x14ac:dyDescent="0.2">
      <c r="A164" s="53" t="s">
        <v>32</v>
      </c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25">
        <v>24000</v>
      </c>
      <c r="P164" s="26">
        <v>195800</v>
      </c>
      <c r="Q164" s="24"/>
    </row>
    <row r="165" spans="1:18" s="28" customFormat="1" ht="15" outlineLevel="5" x14ac:dyDescent="0.2">
      <c r="A165" s="40" t="s">
        <v>230</v>
      </c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25">
        <v>4000</v>
      </c>
      <c r="P165" s="26">
        <v>32800</v>
      </c>
      <c r="Q165" s="27"/>
    </row>
    <row r="166" spans="1:18" s="28" customFormat="1" ht="15" outlineLevel="5" x14ac:dyDescent="0.2">
      <c r="A166" s="40" t="s">
        <v>227</v>
      </c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25">
        <v>10000</v>
      </c>
      <c r="P166" s="26">
        <v>82500</v>
      </c>
      <c r="Q166" s="27"/>
    </row>
    <row r="167" spans="1:18" s="28" customFormat="1" ht="15" outlineLevel="5" x14ac:dyDescent="0.2">
      <c r="A167" s="40" t="s">
        <v>237</v>
      </c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25">
        <v>7000</v>
      </c>
      <c r="P167" s="26">
        <v>56350</v>
      </c>
      <c r="Q167" s="27"/>
    </row>
    <row r="168" spans="1:18" s="28" customFormat="1" ht="15" outlineLevel="5" x14ac:dyDescent="0.2">
      <c r="A168" s="40" t="s">
        <v>239</v>
      </c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25">
        <v>3000</v>
      </c>
      <c r="P168" s="26">
        <v>24150</v>
      </c>
      <c r="Q168" s="27"/>
    </row>
    <row r="169" spans="1:18" s="30" customFormat="1" ht="15" customHeight="1" outlineLevel="4" x14ac:dyDescent="0.2">
      <c r="A169" s="53" t="s">
        <v>33</v>
      </c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25">
        <v>800</v>
      </c>
      <c r="P169" s="26">
        <v>8610</v>
      </c>
      <c r="Q169" s="24"/>
    </row>
    <row r="170" spans="1:18" s="30" customFormat="1" ht="15" outlineLevel="5" x14ac:dyDescent="0.2">
      <c r="A170" s="40" t="s">
        <v>230</v>
      </c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25">
        <v>300</v>
      </c>
      <c r="P170" s="26">
        <v>3210</v>
      </c>
      <c r="Q170" s="24"/>
    </row>
    <row r="171" spans="1:18" s="30" customFormat="1" ht="15" outlineLevel="5" x14ac:dyDescent="0.2">
      <c r="A171" s="40" t="s">
        <v>231</v>
      </c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25">
        <v>500</v>
      </c>
      <c r="P171" s="26">
        <v>5400</v>
      </c>
      <c r="Q171" s="24"/>
    </row>
    <row r="172" spans="1:18" s="30" customFormat="1" ht="15" outlineLevel="5" x14ac:dyDescent="0.2">
      <c r="A172" s="41" t="s">
        <v>27</v>
      </c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31">
        <v>850</v>
      </c>
      <c r="P172" s="26">
        <v>14198.5</v>
      </c>
      <c r="Q172" s="24"/>
    </row>
    <row r="173" spans="1:18" s="29" customFormat="1" ht="15" outlineLevel="6" x14ac:dyDescent="0.2">
      <c r="A173" s="40" t="s">
        <v>226</v>
      </c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25">
        <v>250</v>
      </c>
      <c r="P173" s="26">
        <v>4142.5</v>
      </c>
      <c r="Q173" s="27"/>
      <c r="R173" s="28"/>
    </row>
    <row r="174" spans="1:18" s="29" customFormat="1" ht="15" outlineLevel="6" x14ac:dyDescent="0.2">
      <c r="A174" s="40" t="s">
        <v>227</v>
      </c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25">
        <v>600</v>
      </c>
      <c r="P174" s="26">
        <v>10056</v>
      </c>
      <c r="Q174" s="27"/>
      <c r="R174" s="28"/>
    </row>
    <row r="175" spans="1:18" s="3" customFormat="1" ht="15" customHeight="1" x14ac:dyDescent="0.2">
      <c r="A175" s="37" t="s">
        <v>128</v>
      </c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4">
        <v>26500</v>
      </c>
      <c r="P175" s="5">
        <v>82730</v>
      </c>
      <c r="Q175" s="20"/>
      <c r="R175" s="10"/>
    </row>
    <row r="176" spans="1:18" s="10" customFormat="1" ht="15" customHeight="1" outlineLevel="5" x14ac:dyDescent="0.2">
      <c r="A176" s="38" t="s">
        <v>129</v>
      </c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8">
        <v>10000</v>
      </c>
      <c r="P176" s="9">
        <v>39500</v>
      </c>
      <c r="Q176" s="18"/>
    </row>
    <row r="177" spans="1:18" s="23" customFormat="1" ht="15" customHeight="1" outlineLevel="5" x14ac:dyDescent="0.2">
      <c r="A177" s="49" t="s">
        <v>78</v>
      </c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50">
        <v>6075</v>
      </c>
      <c r="P177" s="51">
        <v>15916.5</v>
      </c>
      <c r="Q177" s="15"/>
    </row>
    <row r="178" spans="1:18" s="23" customFormat="1" ht="15" customHeight="1" outlineLevel="5" x14ac:dyDescent="0.2">
      <c r="A178" s="49" t="s">
        <v>55</v>
      </c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50">
        <v>10425</v>
      </c>
      <c r="P178" s="51">
        <v>27313.5</v>
      </c>
      <c r="Q178" s="15"/>
    </row>
    <row r="179" spans="1:18" s="2" customFormat="1" ht="15" customHeight="1" x14ac:dyDescent="0.2">
      <c r="A179" s="54" t="s">
        <v>130</v>
      </c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5">
        <v>13650</v>
      </c>
      <c r="P179" s="56">
        <v>36585.5</v>
      </c>
      <c r="Q179" s="17"/>
      <c r="R179" s="23"/>
    </row>
    <row r="180" spans="1:18" s="23" customFormat="1" ht="15" customHeight="1" outlineLevel="5" x14ac:dyDescent="0.2">
      <c r="A180" s="49" t="s">
        <v>131</v>
      </c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50">
        <v>3000</v>
      </c>
      <c r="P180" s="51">
        <v>8910</v>
      </c>
      <c r="Q180" s="15"/>
    </row>
    <row r="181" spans="1:18" s="23" customFormat="1" ht="15" customHeight="1" outlineLevel="5" x14ac:dyDescent="0.2">
      <c r="A181" s="49" t="s">
        <v>132</v>
      </c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50">
        <v>1000</v>
      </c>
      <c r="P181" s="51">
        <v>2760</v>
      </c>
      <c r="Q181" s="15"/>
    </row>
    <row r="182" spans="1:18" s="23" customFormat="1" ht="15" customHeight="1" outlineLevel="5" x14ac:dyDescent="0.2">
      <c r="A182" s="49" t="s">
        <v>133</v>
      </c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50">
        <v>1000</v>
      </c>
      <c r="P182" s="51">
        <v>2980</v>
      </c>
      <c r="Q182" s="15"/>
    </row>
    <row r="183" spans="1:18" s="23" customFormat="1" ht="15" customHeight="1" outlineLevel="5" x14ac:dyDescent="0.2">
      <c r="A183" s="49" t="s">
        <v>78</v>
      </c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50">
        <v>1000</v>
      </c>
      <c r="P183" s="51">
        <v>2800</v>
      </c>
      <c r="Q183" s="15"/>
    </row>
    <row r="184" spans="1:18" s="23" customFormat="1" ht="15" customHeight="1" outlineLevel="5" x14ac:dyDescent="0.2">
      <c r="A184" s="49" t="s">
        <v>55</v>
      </c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50">
        <v>1500</v>
      </c>
      <c r="P184" s="51">
        <v>4200</v>
      </c>
      <c r="Q184" s="15"/>
    </row>
    <row r="185" spans="1:18" s="23" customFormat="1" ht="15" customHeight="1" outlineLevel="5" x14ac:dyDescent="0.2">
      <c r="A185" s="49" t="s">
        <v>48</v>
      </c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50">
        <v>6000</v>
      </c>
      <c r="P185" s="51">
        <v>12840</v>
      </c>
      <c r="Q185" s="15"/>
    </row>
    <row r="186" spans="1:18" s="10" customFormat="1" ht="15" customHeight="1" outlineLevel="5" x14ac:dyDescent="0.2">
      <c r="A186" s="38" t="s">
        <v>27</v>
      </c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11">
        <v>150</v>
      </c>
      <c r="P186" s="9">
        <v>2095.5</v>
      </c>
      <c r="Q186" s="18"/>
    </row>
    <row r="187" spans="1:18" s="3" customFormat="1" ht="14.25" customHeight="1" x14ac:dyDescent="0.2">
      <c r="A187" s="37" t="s">
        <v>134</v>
      </c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12">
        <v>10</v>
      </c>
      <c r="P187" s="5">
        <v>1879.2</v>
      </c>
      <c r="R187" s="10"/>
    </row>
    <row r="188" spans="1:18" s="10" customFormat="1" ht="15" customHeight="1" outlineLevel="4" x14ac:dyDescent="0.2">
      <c r="A188" s="39" t="s">
        <v>34</v>
      </c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11">
        <v>10</v>
      </c>
      <c r="P188" s="9">
        <v>1879.2</v>
      </c>
    </row>
    <row r="189" spans="1:18" s="3" customFormat="1" ht="15" customHeight="1" x14ac:dyDescent="0.2">
      <c r="A189" s="37" t="s">
        <v>135</v>
      </c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4">
        <v>1000</v>
      </c>
      <c r="P189" s="5">
        <v>8930</v>
      </c>
      <c r="R189" s="10"/>
    </row>
    <row r="190" spans="1:18" s="10" customFormat="1" ht="15" customHeight="1" outlineLevel="4" x14ac:dyDescent="0.2">
      <c r="A190" s="39" t="s">
        <v>33</v>
      </c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8">
        <v>1000</v>
      </c>
      <c r="P190" s="9">
        <v>8930</v>
      </c>
    </row>
    <row r="191" spans="1:18" s="3" customFormat="1" ht="15" customHeight="1" x14ac:dyDescent="0.2">
      <c r="A191" s="37" t="s">
        <v>136</v>
      </c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12">
        <v>1</v>
      </c>
      <c r="P191" s="13">
        <v>187.92</v>
      </c>
      <c r="R191" s="10"/>
    </row>
    <row r="192" spans="1:18" s="10" customFormat="1" ht="15" customHeight="1" outlineLevel="4" x14ac:dyDescent="0.2">
      <c r="A192" s="39" t="s">
        <v>34</v>
      </c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11">
        <v>1</v>
      </c>
      <c r="P192" s="14">
        <v>187.92</v>
      </c>
    </row>
    <row r="193" spans="1:18" s="3" customFormat="1" ht="15" customHeight="1" x14ac:dyDescent="0.2">
      <c r="A193" s="37" t="s">
        <v>137</v>
      </c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4">
        <v>15000</v>
      </c>
      <c r="P193" s="5">
        <v>33750</v>
      </c>
      <c r="R193" s="10"/>
    </row>
    <row r="194" spans="1:18" s="10" customFormat="1" ht="15" customHeight="1" outlineLevel="5" x14ac:dyDescent="0.2">
      <c r="A194" s="38" t="s">
        <v>138</v>
      </c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8">
        <v>10000</v>
      </c>
      <c r="P194" s="9">
        <v>17500</v>
      </c>
    </row>
    <row r="195" spans="1:18" s="10" customFormat="1" ht="15" customHeight="1" outlineLevel="5" x14ac:dyDescent="0.2">
      <c r="A195" s="38" t="s">
        <v>98</v>
      </c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8">
        <v>5000</v>
      </c>
      <c r="P195" s="9">
        <v>16250</v>
      </c>
    </row>
    <row r="196" spans="1:18" s="3" customFormat="1" ht="15" customHeight="1" x14ac:dyDescent="0.2">
      <c r="A196" s="37" t="s">
        <v>139</v>
      </c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4">
        <v>4000</v>
      </c>
      <c r="P196" s="5">
        <v>30400</v>
      </c>
      <c r="R196" s="10"/>
    </row>
    <row r="197" spans="1:18" s="10" customFormat="1" ht="15" customHeight="1" outlineLevel="4" x14ac:dyDescent="0.2">
      <c r="A197" s="39" t="s">
        <v>32</v>
      </c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8">
        <v>4000</v>
      </c>
      <c r="P197" s="9">
        <v>30400</v>
      </c>
    </row>
    <row r="198" spans="1:18" s="3" customFormat="1" ht="15" customHeight="1" x14ac:dyDescent="0.2">
      <c r="A198" s="37" t="s">
        <v>140</v>
      </c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4">
        <v>13000</v>
      </c>
      <c r="P198" s="5">
        <v>69755</v>
      </c>
      <c r="R198" s="10"/>
    </row>
    <row r="199" spans="1:18" s="10" customFormat="1" ht="15" customHeight="1" outlineLevel="5" x14ac:dyDescent="0.2">
      <c r="A199" s="38" t="s">
        <v>141</v>
      </c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8">
        <v>3500</v>
      </c>
      <c r="P199" s="9">
        <v>33285</v>
      </c>
    </row>
    <row r="200" spans="1:18" s="10" customFormat="1" ht="15" customHeight="1" outlineLevel="5" x14ac:dyDescent="0.2">
      <c r="A200" s="38" t="s">
        <v>142</v>
      </c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8">
        <v>8000</v>
      </c>
      <c r="P200" s="9">
        <v>25520</v>
      </c>
    </row>
    <row r="201" spans="1:18" s="10" customFormat="1" ht="15" customHeight="1" outlineLevel="5" x14ac:dyDescent="0.2">
      <c r="A201" s="38" t="s">
        <v>71</v>
      </c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8">
        <v>1500</v>
      </c>
      <c r="P201" s="9">
        <v>10950</v>
      </c>
    </row>
    <row r="202" spans="1:18" s="3" customFormat="1" ht="15" customHeight="1" x14ac:dyDescent="0.2">
      <c r="A202" s="37" t="s">
        <v>143</v>
      </c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4">
        <v>3750</v>
      </c>
      <c r="P202" s="5">
        <v>17571.5</v>
      </c>
      <c r="R202" s="10"/>
    </row>
    <row r="203" spans="1:18" s="10" customFormat="1" ht="15" customHeight="1" outlineLevel="5" x14ac:dyDescent="0.2">
      <c r="A203" s="38" t="s">
        <v>144</v>
      </c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8">
        <v>2000</v>
      </c>
      <c r="P203" s="9">
        <v>11060</v>
      </c>
    </row>
    <row r="204" spans="1:18" s="10" customFormat="1" ht="15" customHeight="1" outlineLevel="5" x14ac:dyDescent="0.2">
      <c r="A204" s="38" t="s">
        <v>145</v>
      </c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8">
        <v>1600</v>
      </c>
      <c r="P204" s="9">
        <v>4416</v>
      </c>
    </row>
    <row r="205" spans="1:18" s="10" customFormat="1" ht="15" customHeight="1" outlineLevel="5" x14ac:dyDescent="0.2">
      <c r="A205" s="38" t="s">
        <v>27</v>
      </c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11">
        <v>150</v>
      </c>
      <c r="P205" s="9">
        <v>2095.5</v>
      </c>
    </row>
    <row r="206" spans="1:18" s="10" customFormat="1" ht="15" customHeight="1" x14ac:dyDescent="0.2">
      <c r="A206" s="37" t="s">
        <v>146</v>
      </c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12">
        <v>125</v>
      </c>
      <c r="P206" s="13">
        <v>482.5</v>
      </c>
    </row>
    <row r="207" spans="1:18" s="10" customFormat="1" ht="15" customHeight="1" outlineLevel="5" x14ac:dyDescent="0.2">
      <c r="A207" s="38" t="s">
        <v>11</v>
      </c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11">
        <v>125</v>
      </c>
      <c r="P207" s="14">
        <v>482.5</v>
      </c>
    </row>
    <row r="208" spans="1:18" s="10" customFormat="1" ht="15" customHeight="1" x14ac:dyDescent="0.2">
      <c r="A208" s="37" t="s">
        <v>147</v>
      </c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12">
        <v>425</v>
      </c>
      <c r="P208" s="5">
        <v>7511.25</v>
      </c>
    </row>
    <row r="209" spans="1:18" s="10" customFormat="1" ht="15" customHeight="1" outlineLevel="4" x14ac:dyDescent="0.2">
      <c r="A209" s="39" t="s">
        <v>127</v>
      </c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11">
        <v>400</v>
      </c>
      <c r="P209" s="9">
        <v>2920</v>
      </c>
    </row>
    <row r="210" spans="1:18" s="10" customFormat="1" ht="15" customHeight="1" outlineLevel="4" x14ac:dyDescent="0.2">
      <c r="A210" s="39" t="s">
        <v>34</v>
      </c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11">
        <v>25</v>
      </c>
      <c r="P210" s="9">
        <v>4591.25</v>
      </c>
    </row>
    <row r="211" spans="1:18" s="3" customFormat="1" ht="15" customHeight="1" x14ac:dyDescent="0.2">
      <c r="A211" s="37" t="s">
        <v>148</v>
      </c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4">
        <v>2000</v>
      </c>
      <c r="P211" s="5">
        <v>27230</v>
      </c>
      <c r="R211" s="10"/>
    </row>
    <row r="212" spans="1:18" s="10" customFormat="1" ht="15" customHeight="1" outlineLevel="5" x14ac:dyDescent="0.2">
      <c r="A212" s="38" t="s">
        <v>149</v>
      </c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11">
        <v>500</v>
      </c>
      <c r="P212" s="9">
        <v>9610</v>
      </c>
    </row>
    <row r="213" spans="1:18" s="10" customFormat="1" ht="15" customHeight="1" outlineLevel="5" x14ac:dyDescent="0.2">
      <c r="A213" s="38" t="s">
        <v>71</v>
      </c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11">
        <v>500</v>
      </c>
      <c r="P213" s="9">
        <v>3650</v>
      </c>
    </row>
    <row r="214" spans="1:18" s="10" customFormat="1" ht="15" customHeight="1" outlineLevel="5" x14ac:dyDescent="0.2">
      <c r="A214" s="38" t="s">
        <v>27</v>
      </c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8">
        <v>1000</v>
      </c>
      <c r="P214" s="9">
        <v>13970</v>
      </c>
    </row>
    <row r="215" spans="1:18" s="3" customFormat="1" ht="15" customHeight="1" x14ac:dyDescent="0.2">
      <c r="A215" s="37" t="s">
        <v>150</v>
      </c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4">
        <v>2000</v>
      </c>
      <c r="P215" s="5">
        <v>15600</v>
      </c>
      <c r="R215" s="10"/>
    </row>
    <row r="216" spans="1:18" s="10" customFormat="1" ht="15" customHeight="1" outlineLevel="4" x14ac:dyDescent="0.2">
      <c r="A216" s="39" t="s">
        <v>32</v>
      </c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8">
        <v>2000</v>
      </c>
      <c r="P216" s="9">
        <v>15600</v>
      </c>
    </row>
    <row r="217" spans="1:18" ht="15" customHeight="1" x14ac:dyDescent="0.2">
      <c r="A217" s="37" t="s">
        <v>151</v>
      </c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12">
        <v>500</v>
      </c>
      <c r="P217" s="5">
        <v>4580</v>
      </c>
    </row>
    <row r="218" spans="1:18" s="10" customFormat="1" ht="15" customHeight="1" outlineLevel="4" x14ac:dyDescent="0.2">
      <c r="A218" s="39" t="s">
        <v>33</v>
      </c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11">
        <v>500</v>
      </c>
      <c r="P218" s="9">
        <v>4580</v>
      </c>
    </row>
    <row r="219" spans="1:18" s="3" customFormat="1" ht="15" customHeight="1" x14ac:dyDescent="0.2">
      <c r="A219" s="37" t="s">
        <v>152</v>
      </c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4">
        <v>11000</v>
      </c>
      <c r="P219" s="5">
        <v>45390</v>
      </c>
      <c r="R219" s="10"/>
    </row>
    <row r="220" spans="1:18" s="10" customFormat="1" ht="15" customHeight="1" outlineLevel="5" x14ac:dyDescent="0.2">
      <c r="A220" s="38" t="s">
        <v>153</v>
      </c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8">
        <v>5000</v>
      </c>
      <c r="P220" s="9">
        <v>23350</v>
      </c>
    </row>
    <row r="221" spans="1:18" s="10" customFormat="1" ht="15" customHeight="1" outlineLevel="5" x14ac:dyDescent="0.2">
      <c r="A221" s="38" t="s">
        <v>154</v>
      </c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8">
        <v>4000</v>
      </c>
      <c r="P221" s="9">
        <v>18680</v>
      </c>
    </row>
    <row r="222" spans="1:18" s="10" customFormat="1" ht="15" customHeight="1" outlineLevel="5" x14ac:dyDescent="0.2">
      <c r="A222" s="38" t="s">
        <v>155</v>
      </c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8">
        <v>1400</v>
      </c>
      <c r="P222" s="9">
        <v>2352</v>
      </c>
    </row>
    <row r="223" spans="1:18" s="10" customFormat="1" ht="15" customHeight="1" outlineLevel="5" x14ac:dyDescent="0.2">
      <c r="A223" s="38" t="s">
        <v>74</v>
      </c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11">
        <v>600</v>
      </c>
      <c r="P223" s="9">
        <v>1008</v>
      </c>
    </row>
    <row r="224" spans="1:18" s="3" customFormat="1" ht="15" customHeight="1" x14ac:dyDescent="0.2">
      <c r="A224" s="37" t="s">
        <v>156</v>
      </c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4">
        <v>3000</v>
      </c>
      <c r="P224" s="5">
        <v>5010</v>
      </c>
      <c r="R224" s="10"/>
    </row>
    <row r="225" spans="1:18" s="10" customFormat="1" ht="15" customHeight="1" outlineLevel="6" x14ac:dyDescent="0.2">
      <c r="A225" s="36" t="s">
        <v>18</v>
      </c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8">
        <v>3000</v>
      </c>
      <c r="P225" s="9">
        <v>5010</v>
      </c>
    </row>
    <row r="226" spans="1:18" s="3" customFormat="1" ht="15" customHeight="1" x14ac:dyDescent="0.2">
      <c r="A226" s="37" t="s">
        <v>157</v>
      </c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12">
        <v>300</v>
      </c>
      <c r="P226" s="5">
        <v>1158</v>
      </c>
      <c r="R226" s="10"/>
    </row>
    <row r="227" spans="1:18" s="10" customFormat="1" ht="15" customHeight="1" outlineLevel="5" x14ac:dyDescent="0.2">
      <c r="A227" s="38" t="s">
        <v>11</v>
      </c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11">
        <v>300</v>
      </c>
      <c r="P227" s="9">
        <v>1158</v>
      </c>
    </row>
    <row r="228" spans="1:18" s="3" customFormat="1" ht="15" customHeight="1" x14ac:dyDescent="0.2">
      <c r="A228" s="37" t="s">
        <v>158</v>
      </c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4">
        <v>15850</v>
      </c>
      <c r="P228" s="5">
        <v>91653.5</v>
      </c>
      <c r="R228" s="10"/>
    </row>
    <row r="229" spans="1:18" s="10" customFormat="1" ht="15" customHeight="1" outlineLevel="5" x14ac:dyDescent="0.2">
      <c r="A229" s="38" t="s">
        <v>159</v>
      </c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11">
        <v>600</v>
      </c>
      <c r="P229" s="9">
        <v>8946</v>
      </c>
    </row>
    <row r="230" spans="1:18" s="10" customFormat="1" ht="15" customHeight="1" outlineLevel="5" x14ac:dyDescent="0.2">
      <c r="A230" s="38" t="s">
        <v>160</v>
      </c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8">
        <v>1000</v>
      </c>
      <c r="P230" s="9">
        <v>14910</v>
      </c>
    </row>
    <row r="231" spans="1:18" s="10" customFormat="1" ht="15" customHeight="1" outlineLevel="5" x14ac:dyDescent="0.2">
      <c r="A231" s="38" t="s">
        <v>161</v>
      </c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8">
        <v>1000</v>
      </c>
      <c r="P231" s="9">
        <v>3540</v>
      </c>
    </row>
    <row r="232" spans="1:18" s="10" customFormat="1" ht="15" customHeight="1" outlineLevel="5" x14ac:dyDescent="0.2">
      <c r="A232" s="38" t="s">
        <v>162</v>
      </c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8">
        <v>3000</v>
      </c>
      <c r="P232" s="9">
        <v>10620</v>
      </c>
    </row>
    <row r="233" spans="1:18" s="10" customFormat="1" ht="15" customHeight="1" outlineLevel="5" x14ac:dyDescent="0.2">
      <c r="A233" s="38" t="s">
        <v>163</v>
      </c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8">
        <v>1000</v>
      </c>
      <c r="P233" s="9">
        <v>5150</v>
      </c>
    </row>
    <row r="234" spans="1:18" s="10" customFormat="1" ht="15" customHeight="1" outlineLevel="5" x14ac:dyDescent="0.2">
      <c r="A234" s="38" t="s">
        <v>164</v>
      </c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8">
        <v>1000</v>
      </c>
      <c r="P234" s="9">
        <v>3550</v>
      </c>
    </row>
    <row r="235" spans="1:18" s="10" customFormat="1" ht="15" customHeight="1" outlineLevel="5" x14ac:dyDescent="0.2">
      <c r="A235" s="38" t="s">
        <v>165</v>
      </c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8">
        <v>2000</v>
      </c>
      <c r="P235" s="9">
        <v>7100</v>
      </c>
    </row>
    <row r="236" spans="1:18" s="10" customFormat="1" ht="15" customHeight="1" outlineLevel="5" x14ac:dyDescent="0.2">
      <c r="A236" s="38" t="s">
        <v>166</v>
      </c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8">
        <v>4000</v>
      </c>
      <c r="P236" s="9">
        <v>23720</v>
      </c>
    </row>
    <row r="237" spans="1:18" s="10" customFormat="1" ht="15" customHeight="1" outlineLevel="5" x14ac:dyDescent="0.2">
      <c r="A237" s="38" t="s">
        <v>167</v>
      </c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8">
        <v>2000</v>
      </c>
      <c r="P237" s="9">
        <v>11860</v>
      </c>
    </row>
    <row r="238" spans="1:18" s="10" customFormat="1" ht="15" customHeight="1" outlineLevel="4" x14ac:dyDescent="0.2">
      <c r="A238" s="39" t="s">
        <v>33</v>
      </c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8">
        <v>250</v>
      </c>
      <c r="P238" s="9">
        <v>2257.5</v>
      </c>
    </row>
    <row r="239" spans="1:18" s="3" customFormat="1" ht="15" customHeight="1" x14ac:dyDescent="0.2">
      <c r="A239" s="37" t="s">
        <v>168</v>
      </c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4">
        <v>4150</v>
      </c>
      <c r="P239" s="5">
        <v>24829.5</v>
      </c>
      <c r="R239" s="10"/>
    </row>
    <row r="240" spans="1:18" s="10" customFormat="1" ht="15" customHeight="1" outlineLevel="5" x14ac:dyDescent="0.2">
      <c r="A240" s="38" t="s">
        <v>74</v>
      </c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8">
        <v>2000</v>
      </c>
      <c r="P240" s="9">
        <v>3500</v>
      </c>
    </row>
    <row r="241" spans="1:18" s="10" customFormat="1" ht="15" customHeight="1" outlineLevel="5" x14ac:dyDescent="0.2">
      <c r="A241" s="38" t="s">
        <v>62</v>
      </c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8">
        <v>1000</v>
      </c>
      <c r="P241" s="9">
        <v>3450</v>
      </c>
    </row>
    <row r="242" spans="1:18" s="10" customFormat="1" ht="15" customHeight="1" outlineLevel="4" x14ac:dyDescent="0.2">
      <c r="A242" s="39" t="s">
        <v>127</v>
      </c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8">
        <v>1000</v>
      </c>
      <c r="P242" s="9">
        <v>7300</v>
      </c>
    </row>
    <row r="243" spans="1:18" s="10" customFormat="1" ht="15" customHeight="1" outlineLevel="4" x14ac:dyDescent="0.2">
      <c r="A243" s="39" t="s">
        <v>34</v>
      </c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11">
        <v>50</v>
      </c>
      <c r="P243" s="9">
        <v>9182.5</v>
      </c>
    </row>
    <row r="244" spans="1:18" s="10" customFormat="1" ht="15" customHeight="1" outlineLevel="5" x14ac:dyDescent="0.2">
      <c r="A244" s="38" t="s">
        <v>27</v>
      </c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11">
        <v>100</v>
      </c>
      <c r="P244" s="9">
        <v>1397</v>
      </c>
    </row>
    <row r="245" spans="1:18" s="3" customFormat="1" ht="15" customHeight="1" x14ac:dyDescent="0.2">
      <c r="A245" s="37" t="s">
        <v>169</v>
      </c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12">
        <v>300</v>
      </c>
      <c r="P245" s="5">
        <v>2796</v>
      </c>
      <c r="R245" s="10"/>
    </row>
    <row r="246" spans="1:18" s="10" customFormat="1" ht="15" customHeight="1" outlineLevel="4" x14ac:dyDescent="0.2">
      <c r="A246" s="39" t="s">
        <v>33</v>
      </c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11">
        <v>300</v>
      </c>
      <c r="P246" s="9">
        <v>2796</v>
      </c>
    </row>
    <row r="247" spans="1:18" s="3" customFormat="1" ht="15" customHeight="1" x14ac:dyDescent="0.2">
      <c r="A247" s="37" t="s">
        <v>170</v>
      </c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4">
        <v>2500</v>
      </c>
      <c r="P247" s="5">
        <v>9775</v>
      </c>
      <c r="R247" s="10"/>
    </row>
    <row r="248" spans="1:18" s="10" customFormat="1" ht="15" customHeight="1" outlineLevel="5" x14ac:dyDescent="0.2">
      <c r="A248" s="38" t="s">
        <v>11</v>
      </c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8">
        <v>2500</v>
      </c>
      <c r="P248" s="9">
        <v>9775</v>
      </c>
    </row>
    <row r="249" spans="1:18" s="3" customFormat="1" ht="15" customHeight="1" x14ac:dyDescent="0.2">
      <c r="A249" s="37" t="s">
        <v>171</v>
      </c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4">
        <v>20500</v>
      </c>
      <c r="P249" s="5">
        <v>97030</v>
      </c>
      <c r="R249" s="10"/>
    </row>
    <row r="250" spans="1:18" s="10" customFormat="1" ht="15.75" customHeight="1" outlineLevel="5" x14ac:dyDescent="0.2">
      <c r="A250" s="38" t="s">
        <v>172</v>
      </c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8">
        <v>7000</v>
      </c>
      <c r="P250" s="9">
        <v>39200</v>
      </c>
    </row>
    <row r="251" spans="1:18" s="10" customFormat="1" ht="15" customHeight="1" outlineLevel="5" x14ac:dyDescent="0.2">
      <c r="A251" s="38" t="s">
        <v>173</v>
      </c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8">
        <v>1000</v>
      </c>
      <c r="P251" s="9">
        <v>2920</v>
      </c>
    </row>
    <row r="252" spans="1:18" s="10" customFormat="1" ht="15" customHeight="1" outlineLevel="5" x14ac:dyDescent="0.2">
      <c r="A252" s="38" t="s">
        <v>98</v>
      </c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8">
        <v>7375</v>
      </c>
      <c r="P252" s="9">
        <v>23968.75</v>
      </c>
    </row>
    <row r="253" spans="1:18" s="10" customFormat="1" ht="15" customHeight="1" outlineLevel="5" x14ac:dyDescent="0.2">
      <c r="A253" s="38" t="s">
        <v>99</v>
      </c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8">
        <v>2625</v>
      </c>
      <c r="P253" s="9">
        <v>8531.25</v>
      </c>
    </row>
    <row r="254" spans="1:18" s="10" customFormat="1" ht="15" customHeight="1" outlineLevel="4" x14ac:dyDescent="0.2">
      <c r="A254" s="39" t="s">
        <v>32</v>
      </c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8">
        <v>2000</v>
      </c>
      <c r="P254" s="9">
        <v>15600</v>
      </c>
    </row>
    <row r="255" spans="1:18" s="10" customFormat="1" ht="15" customHeight="1" outlineLevel="5" x14ac:dyDescent="0.2">
      <c r="A255" s="38" t="s">
        <v>27</v>
      </c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11">
        <v>500</v>
      </c>
      <c r="P255" s="9">
        <v>6810</v>
      </c>
    </row>
    <row r="256" spans="1:18" s="3" customFormat="1" ht="15" customHeight="1" x14ac:dyDescent="0.2">
      <c r="A256" s="37" t="s">
        <v>174</v>
      </c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4">
        <v>2003</v>
      </c>
      <c r="P256" s="5">
        <v>6523.76</v>
      </c>
      <c r="R256" s="10"/>
    </row>
    <row r="257" spans="1:18" s="10" customFormat="1" ht="15" customHeight="1" outlineLevel="5" x14ac:dyDescent="0.2">
      <c r="A257" s="38" t="s">
        <v>175</v>
      </c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8">
        <v>2000</v>
      </c>
      <c r="P257" s="9">
        <v>5960</v>
      </c>
    </row>
    <row r="258" spans="1:18" s="10" customFormat="1" ht="15" customHeight="1" outlineLevel="4" x14ac:dyDescent="0.2">
      <c r="A258" s="39" t="s">
        <v>34</v>
      </c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11">
        <v>3</v>
      </c>
      <c r="P258" s="14">
        <v>563.76</v>
      </c>
    </row>
    <row r="259" spans="1:18" s="3" customFormat="1" ht="15" customHeight="1" x14ac:dyDescent="0.2">
      <c r="A259" s="37" t="s">
        <v>176</v>
      </c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4">
        <v>18900</v>
      </c>
      <c r="P259" s="5">
        <v>227135</v>
      </c>
      <c r="R259" s="10"/>
    </row>
    <row r="260" spans="1:18" s="10" customFormat="1" ht="15" customHeight="1" outlineLevel="5" x14ac:dyDescent="0.2">
      <c r="A260" s="38" t="s">
        <v>177</v>
      </c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8">
        <v>2500</v>
      </c>
      <c r="P260" s="9">
        <v>40825</v>
      </c>
    </row>
    <row r="261" spans="1:18" s="10" customFormat="1" ht="15" customHeight="1" outlineLevel="5" x14ac:dyDescent="0.2">
      <c r="A261" s="38" t="s">
        <v>178</v>
      </c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8">
        <v>2000</v>
      </c>
      <c r="P261" s="9">
        <v>27500</v>
      </c>
    </row>
    <row r="262" spans="1:18" s="10" customFormat="1" ht="15" customHeight="1" outlineLevel="5" x14ac:dyDescent="0.2">
      <c r="A262" s="38" t="s">
        <v>179</v>
      </c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8">
        <v>3000</v>
      </c>
      <c r="P262" s="9">
        <v>41250</v>
      </c>
    </row>
    <row r="263" spans="1:18" s="10" customFormat="1" ht="15" customHeight="1" outlineLevel="5" x14ac:dyDescent="0.2">
      <c r="A263" s="38" t="s">
        <v>180</v>
      </c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8">
        <v>6000</v>
      </c>
      <c r="P263" s="9">
        <v>73020</v>
      </c>
    </row>
    <row r="264" spans="1:18" s="10" customFormat="1" ht="15" customHeight="1" outlineLevel="5" x14ac:dyDescent="0.2">
      <c r="A264" s="38" t="s">
        <v>71</v>
      </c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8">
        <v>4000</v>
      </c>
      <c r="P264" s="9">
        <v>29200</v>
      </c>
    </row>
    <row r="265" spans="1:18" s="10" customFormat="1" ht="15" customHeight="1" outlineLevel="4" x14ac:dyDescent="0.2">
      <c r="A265" s="39" t="s">
        <v>33</v>
      </c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8">
        <v>1000</v>
      </c>
      <c r="P265" s="9">
        <v>9000</v>
      </c>
    </row>
    <row r="266" spans="1:18" s="10" customFormat="1" ht="15" customHeight="1" outlineLevel="4" x14ac:dyDescent="0.2">
      <c r="A266" s="39" t="s">
        <v>181</v>
      </c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11">
        <v>400</v>
      </c>
      <c r="P266" s="9">
        <v>6340</v>
      </c>
    </row>
    <row r="267" spans="1:18" s="3" customFormat="1" ht="15" customHeight="1" x14ac:dyDescent="0.2">
      <c r="A267" s="37" t="s">
        <v>208</v>
      </c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12">
        <v>250</v>
      </c>
      <c r="P267" s="5">
        <v>45912.5</v>
      </c>
      <c r="R267" s="10"/>
    </row>
    <row r="268" spans="1:18" s="10" customFormat="1" ht="15" customHeight="1" outlineLevel="4" x14ac:dyDescent="0.2">
      <c r="A268" s="39" t="s">
        <v>34</v>
      </c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11">
        <v>250</v>
      </c>
      <c r="P268" s="9">
        <v>45912.5</v>
      </c>
    </row>
    <row r="269" spans="1:18" s="10" customFormat="1" ht="15" customHeight="1" x14ac:dyDescent="0.2">
      <c r="A269" s="37" t="s">
        <v>182</v>
      </c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4">
        <v>6700</v>
      </c>
      <c r="P269" s="5">
        <v>50635</v>
      </c>
    </row>
    <row r="270" spans="1:18" s="10" customFormat="1" ht="15" customHeight="1" outlineLevel="5" x14ac:dyDescent="0.2">
      <c r="A270" s="38" t="s">
        <v>183</v>
      </c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11">
        <v>400</v>
      </c>
      <c r="P270" s="9">
        <v>7000</v>
      </c>
    </row>
    <row r="271" spans="1:18" s="10" customFormat="1" ht="15" customHeight="1" outlineLevel="5" x14ac:dyDescent="0.2">
      <c r="A271" s="38" t="s">
        <v>184</v>
      </c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11">
        <v>300</v>
      </c>
      <c r="P271" s="9">
        <v>1215</v>
      </c>
    </row>
    <row r="272" spans="1:18" s="10" customFormat="1" ht="15" customHeight="1" outlineLevel="5" x14ac:dyDescent="0.2">
      <c r="A272" s="38" t="s">
        <v>117</v>
      </c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8">
        <v>1000</v>
      </c>
      <c r="P272" s="9">
        <v>3420</v>
      </c>
    </row>
    <row r="273" spans="1:18" s="10" customFormat="1" ht="15" customHeight="1" outlineLevel="4" x14ac:dyDescent="0.2">
      <c r="A273" s="39" t="s">
        <v>32</v>
      </c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8">
        <v>5000</v>
      </c>
      <c r="P273" s="9">
        <v>39000</v>
      </c>
    </row>
    <row r="274" spans="1:18" s="3" customFormat="1" ht="15" customHeight="1" x14ac:dyDescent="0.2">
      <c r="A274" s="37" t="s">
        <v>185</v>
      </c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4">
        <v>36800</v>
      </c>
      <c r="P274" s="5">
        <v>119866</v>
      </c>
      <c r="R274" s="10"/>
    </row>
    <row r="275" spans="1:18" s="10" customFormat="1" ht="15" customHeight="1" outlineLevel="5" x14ac:dyDescent="0.2">
      <c r="A275" s="38" t="s">
        <v>186</v>
      </c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8">
        <v>1300</v>
      </c>
      <c r="P275" s="9">
        <v>8671</v>
      </c>
    </row>
    <row r="276" spans="1:18" s="10" customFormat="1" ht="15" customHeight="1" outlineLevel="5" x14ac:dyDescent="0.2">
      <c r="A276" s="38" t="s">
        <v>187</v>
      </c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8">
        <v>3000</v>
      </c>
      <c r="P276" s="9">
        <v>7860</v>
      </c>
    </row>
    <row r="277" spans="1:18" s="10" customFormat="1" ht="15" customHeight="1" outlineLevel="5" x14ac:dyDescent="0.2">
      <c r="A277" s="38" t="s">
        <v>188</v>
      </c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8">
        <v>5500</v>
      </c>
      <c r="P277" s="9">
        <v>12815</v>
      </c>
    </row>
    <row r="278" spans="1:18" s="23" customFormat="1" ht="15" customHeight="1" outlineLevel="5" x14ac:dyDescent="0.2">
      <c r="A278" s="49" t="s">
        <v>55</v>
      </c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50">
        <v>9000</v>
      </c>
      <c r="P278" s="51">
        <v>24840</v>
      </c>
    </row>
    <row r="279" spans="1:18" s="10" customFormat="1" ht="15" customHeight="1" outlineLevel="5" x14ac:dyDescent="0.2">
      <c r="A279" s="38" t="s">
        <v>9</v>
      </c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8">
        <v>14000</v>
      </c>
      <c r="P279" s="9">
        <v>29960</v>
      </c>
    </row>
    <row r="280" spans="1:18" s="10" customFormat="1" ht="15" customHeight="1" outlineLevel="4" x14ac:dyDescent="0.2">
      <c r="A280" s="39" t="s">
        <v>33</v>
      </c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8">
        <v>4000</v>
      </c>
      <c r="P280" s="9">
        <v>35720</v>
      </c>
    </row>
    <row r="281" spans="1:18" s="3" customFormat="1" ht="15" customHeight="1" x14ac:dyDescent="0.2">
      <c r="A281" s="37" t="s">
        <v>189</v>
      </c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4">
        <v>7500</v>
      </c>
      <c r="P281" s="5">
        <v>44520</v>
      </c>
      <c r="R281" s="10"/>
    </row>
    <row r="282" spans="1:18" s="10" customFormat="1" ht="15" customHeight="1" outlineLevel="5" x14ac:dyDescent="0.2">
      <c r="A282" s="38" t="s">
        <v>190</v>
      </c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8">
        <v>5000</v>
      </c>
      <c r="P282" s="9">
        <v>16300</v>
      </c>
    </row>
    <row r="283" spans="1:18" s="10" customFormat="1" ht="15" customHeight="1" outlineLevel="5" x14ac:dyDescent="0.2">
      <c r="A283" s="38" t="s">
        <v>191</v>
      </c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8">
        <v>1500</v>
      </c>
      <c r="P283" s="9">
        <v>14250</v>
      </c>
    </row>
    <row r="284" spans="1:18" s="10" customFormat="1" ht="15" customHeight="1" outlineLevel="5" x14ac:dyDescent="0.2">
      <c r="A284" s="38" t="s">
        <v>27</v>
      </c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8">
        <v>1000</v>
      </c>
      <c r="P284" s="9">
        <v>13970</v>
      </c>
    </row>
    <row r="285" spans="1:18" s="3" customFormat="1" ht="15" customHeight="1" x14ac:dyDescent="0.2">
      <c r="A285" s="37" t="s">
        <v>192</v>
      </c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12">
        <v>600</v>
      </c>
      <c r="P285" s="5">
        <v>1542</v>
      </c>
      <c r="R285" s="10"/>
    </row>
    <row r="286" spans="1:18" s="10" customFormat="1" ht="15" customHeight="1" outlineLevel="5" x14ac:dyDescent="0.2">
      <c r="A286" s="38" t="s">
        <v>193</v>
      </c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11">
        <v>600</v>
      </c>
      <c r="P286" s="9">
        <v>1542</v>
      </c>
    </row>
    <row r="287" spans="1:18" s="3" customFormat="1" ht="15" customHeight="1" x14ac:dyDescent="0.2">
      <c r="A287" s="37" t="s">
        <v>194</v>
      </c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12">
        <v>300</v>
      </c>
      <c r="P287" s="5">
        <v>1158</v>
      </c>
      <c r="R287" s="10"/>
    </row>
    <row r="288" spans="1:18" s="10" customFormat="1" ht="15" customHeight="1" outlineLevel="5" x14ac:dyDescent="0.2">
      <c r="A288" s="38" t="s">
        <v>11</v>
      </c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11">
        <v>300</v>
      </c>
      <c r="P288" s="9">
        <v>1158</v>
      </c>
    </row>
    <row r="289" spans="1:18" s="3" customFormat="1" ht="15" customHeight="1" x14ac:dyDescent="0.2">
      <c r="A289" s="37" t="s">
        <v>195</v>
      </c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12">
        <v>50</v>
      </c>
      <c r="P289" s="5">
        <v>9182.5</v>
      </c>
      <c r="R289" s="10"/>
    </row>
    <row r="290" spans="1:18" s="10" customFormat="1" ht="15" customHeight="1" outlineLevel="4" x14ac:dyDescent="0.2">
      <c r="A290" s="39" t="s">
        <v>34</v>
      </c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11">
        <v>50</v>
      </c>
      <c r="P290" s="9">
        <v>9182.5</v>
      </c>
    </row>
    <row r="291" spans="1:18" s="3" customFormat="1" ht="15" customHeight="1" x14ac:dyDescent="0.2">
      <c r="A291" s="37" t="s">
        <v>196</v>
      </c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4">
        <v>5500</v>
      </c>
      <c r="P291" s="5">
        <v>27115</v>
      </c>
      <c r="R291" s="10"/>
    </row>
    <row r="292" spans="1:18" s="10" customFormat="1" ht="15" customHeight="1" outlineLevel="5" x14ac:dyDescent="0.2">
      <c r="A292" s="38" t="s">
        <v>197</v>
      </c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8">
        <v>2000</v>
      </c>
      <c r="P292" s="9">
        <v>5520</v>
      </c>
    </row>
    <row r="293" spans="1:18" s="10" customFormat="1" ht="15" customHeight="1" outlineLevel="5" x14ac:dyDescent="0.2">
      <c r="A293" s="38" t="s">
        <v>198</v>
      </c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8">
        <v>1000</v>
      </c>
      <c r="P293" s="9">
        <v>6790</v>
      </c>
    </row>
    <row r="294" spans="1:18" s="10" customFormat="1" ht="15" customHeight="1" outlineLevel="5" x14ac:dyDescent="0.2">
      <c r="A294" s="38" t="s">
        <v>11</v>
      </c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8">
        <v>2000</v>
      </c>
      <c r="P294" s="9">
        <v>7820</v>
      </c>
    </row>
    <row r="295" spans="1:18" s="10" customFormat="1" ht="15" customHeight="1" outlineLevel="5" x14ac:dyDescent="0.2">
      <c r="A295" s="38" t="s">
        <v>27</v>
      </c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11">
        <v>500</v>
      </c>
      <c r="P295" s="9">
        <v>6985</v>
      </c>
    </row>
    <row r="296" spans="1:18" s="3" customFormat="1" ht="15" customHeight="1" x14ac:dyDescent="0.2">
      <c r="A296" s="37" t="s">
        <v>199</v>
      </c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4">
        <v>20000</v>
      </c>
      <c r="P296" s="5">
        <v>79328.05</v>
      </c>
      <c r="R296" s="10"/>
    </row>
    <row r="297" spans="1:18" s="10" customFormat="1" ht="15" customHeight="1" outlineLevel="5" x14ac:dyDescent="0.2">
      <c r="A297" s="38" t="s">
        <v>11</v>
      </c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8">
        <v>20000</v>
      </c>
      <c r="P297" s="9">
        <v>79328.05</v>
      </c>
    </row>
    <row r="298" spans="1:18" s="3" customFormat="1" ht="15" customHeight="1" x14ac:dyDescent="0.2">
      <c r="A298" s="37" t="s">
        <v>200</v>
      </c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4">
        <v>14000</v>
      </c>
      <c r="P298" s="5">
        <v>22260</v>
      </c>
      <c r="R298" s="10"/>
    </row>
    <row r="299" spans="1:18" s="10" customFormat="1" ht="15" customHeight="1" outlineLevel="6" x14ac:dyDescent="0.2">
      <c r="A299" s="36" t="s">
        <v>77</v>
      </c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8">
        <v>14000</v>
      </c>
      <c r="P299" s="9">
        <v>22260</v>
      </c>
    </row>
    <row r="300" spans="1:18" s="3" customFormat="1" ht="15" customHeight="1" x14ac:dyDescent="0.2">
      <c r="A300" s="37" t="s">
        <v>201</v>
      </c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4">
        <v>51100</v>
      </c>
      <c r="P300" s="5">
        <v>173627</v>
      </c>
      <c r="R300" s="10"/>
    </row>
    <row r="301" spans="1:18" s="23" customFormat="1" ht="15" customHeight="1" outlineLevel="5" x14ac:dyDescent="0.2">
      <c r="A301" s="49" t="s">
        <v>202</v>
      </c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50">
        <v>5000</v>
      </c>
      <c r="P301" s="51">
        <v>9600</v>
      </c>
    </row>
    <row r="302" spans="1:18" s="10" customFormat="1" ht="15" customHeight="1" outlineLevel="5" x14ac:dyDescent="0.2">
      <c r="A302" s="38" t="s">
        <v>203</v>
      </c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8">
        <v>5000</v>
      </c>
      <c r="P302" s="9">
        <v>24900</v>
      </c>
    </row>
    <row r="303" spans="1:18" s="10" customFormat="1" ht="15" customHeight="1" outlineLevel="5" x14ac:dyDescent="0.2">
      <c r="A303" s="38" t="s">
        <v>204</v>
      </c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8">
        <v>2000</v>
      </c>
      <c r="P303" s="9">
        <v>6400</v>
      </c>
    </row>
    <row r="304" spans="1:18" s="10" customFormat="1" ht="15" customHeight="1" outlineLevel="5" x14ac:dyDescent="0.2">
      <c r="A304" s="38" t="s">
        <v>71</v>
      </c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8">
        <v>1000</v>
      </c>
      <c r="P304" s="9">
        <v>5840</v>
      </c>
    </row>
    <row r="305" spans="1:16" s="10" customFormat="1" ht="15" customHeight="1" outlineLevel="5" x14ac:dyDescent="0.2">
      <c r="A305" s="38" t="s">
        <v>94</v>
      </c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8">
        <v>1000</v>
      </c>
      <c r="P305" s="9">
        <v>5430</v>
      </c>
    </row>
    <row r="306" spans="1:16" s="10" customFormat="1" ht="15" customHeight="1" outlineLevel="5" x14ac:dyDescent="0.2">
      <c r="A306" s="38" t="s">
        <v>205</v>
      </c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8">
        <v>8075</v>
      </c>
      <c r="P306" s="9">
        <v>20995</v>
      </c>
    </row>
    <row r="307" spans="1:16" s="10" customFormat="1" ht="15" customHeight="1" outlineLevel="5" x14ac:dyDescent="0.2">
      <c r="A307" s="38" t="s">
        <v>206</v>
      </c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8">
        <v>5000</v>
      </c>
      <c r="P307" s="9">
        <v>13000</v>
      </c>
    </row>
    <row r="308" spans="1:16" s="10" customFormat="1" ht="15" customHeight="1" outlineLevel="5" x14ac:dyDescent="0.2">
      <c r="A308" s="38" t="s">
        <v>97</v>
      </c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8">
        <v>10925</v>
      </c>
      <c r="P308" s="9">
        <v>28405</v>
      </c>
    </row>
    <row r="309" spans="1:16" s="10" customFormat="1" ht="15" customHeight="1" outlineLevel="5" x14ac:dyDescent="0.2">
      <c r="A309" s="38" t="s">
        <v>98</v>
      </c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8">
        <v>4500</v>
      </c>
      <c r="P309" s="9">
        <v>11700</v>
      </c>
    </row>
    <row r="310" spans="1:16" s="10" customFormat="1" ht="15" customHeight="1" outlineLevel="5" x14ac:dyDescent="0.2">
      <c r="A310" s="38" t="s">
        <v>222</v>
      </c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8">
        <v>5000</v>
      </c>
      <c r="P310" s="9">
        <v>13150</v>
      </c>
    </row>
    <row r="311" spans="1:16" s="10" customFormat="1" ht="15" customHeight="1" outlineLevel="5" x14ac:dyDescent="0.2">
      <c r="A311" s="38" t="s">
        <v>126</v>
      </c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8">
        <v>2000</v>
      </c>
      <c r="P311" s="9">
        <v>19440</v>
      </c>
    </row>
    <row r="312" spans="1:16" s="10" customFormat="1" ht="15" customHeight="1" outlineLevel="5" x14ac:dyDescent="0.2">
      <c r="A312" s="38" t="s">
        <v>207</v>
      </c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8">
        <v>1000</v>
      </c>
      <c r="P312" s="9">
        <v>9720</v>
      </c>
    </row>
    <row r="313" spans="1:16" s="10" customFormat="1" ht="15" customHeight="1" outlineLevel="4" x14ac:dyDescent="0.2">
      <c r="A313" s="39" t="s">
        <v>127</v>
      </c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11">
        <v>500</v>
      </c>
      <c r="P313" s="9">
        <v>3650</v>
      </c>
    </row>
    <row r="314" spans="1:16" s="10" customFormat="1" ht="15" customHeight="1" outlineLevel="5" x14ac:dyDescent="0.2">
      <c r="A314" s="38" t="s">
        <v>27</v>
      </c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11">
        <v>100</v>
      </c>
      <c r="P314" s="9">
        <v>1397</v>
      </c>
    </row>
  </sheetData>
  <mergeCells count="316">
    <mergeCell ref="O14:O15"/>
    <mergeCell ref="P14:P15"/>
    <mergeCell ref="P2:P4"/>
    <mergeCell ref="A3:N3"/>
    <mergeCell ref="A4:N4"/>
    <mergeCell ref="A5:N5"/>
    <mergeCell ref="A6:N6"/>
    <mergeCell ref="A7:N7"/>
    <mergeCell ref="A2:N2"/>
    <mergeCell ref="O2:O4"/>
    <mergeCell ref="A16:N16"/>
    <mergeCell ref="A17:N17"/>
    <mergeCell ref="A11:N11"/>
    <mergeCell ref="A12:N12"/>
    <mergeCell ref="A13:N13"/>
    <mergeCell ref="A8:N8"/>
    <mergeCell ref="A9:N9"/>
    <mergeCell ref="A10:N10"/>
    <mergeCell ref="A30:N30"/>
    <mergeCell ref="A24:N24"/>
    <mergeCell ref="A25:N25"/>
    <mergeCell ref="A26:N26"/>
    <mergeCell ref="A21:N21"/>
    <mergeCell ref="A22:N22"/>
    <mergeCell ref="A23:N23"/>
    <mergeCell ref="A18:N18"/>
    <mergeCell ref="A19:N19"/>
    <mergeCell ref="A20:N20"/>
    <mergeCell ref="A14:N15"/>
    <mergeCell ref="A27:N27"/>
    <mergeCell ref="A37:N37"/>
    <mergeCell ref="A38:N38"/>
    <mergeCell ref="A34:N34"/>
    <mergeCell ref="A35:N35"/>
    <mergeCell ref="A36:N36"/>
    <mergeCell ref="A31:N31"/>
    <mergeCell ref="A32:N32"/>
    <mergeCell ref="A33:N33"/>
    <mergeCell ref="A28:N28"/>
    <mergeCell ref="A29:N29"/>
    <mergeCell ref="A39:N39"/>
    <mergeCell ref="A40:N40"/>
    <mergeCell ref="A41:N41"/>
    <mergeCell ref="A51:N51"/>
    <mergeCell ref="A52:N52"/>
    <mergeCell ref="A53:N53"/>
    <mergeCell ref="A54:N54"/>
    <mergeCell ref="A55:N55"/>
    <mergeCell ref="A56:N56"/>
    <mergeCell ref="A47:N47"/>
    <mergeCell ref="A48:N48"/>
    <mergeCell ref="A49:N49"/>
    <mergeCell ref="A50:N50"/>
    <mergeCell ref="A46:N46"/>
    <mergeCell ref="A42:N42"/>
    <mergeCell ref="A43:N43"/>
    <mergeCell ref="A44:N44"/>
    <mergeCell ref="A45:N45"/>
    <mergeCell ref="A57:N57"/>
    <mergeCell ref="A58:N58"/>
    <mergeCell ref="A59:N59"/>
    <mergeCell ref="A60:N60"/>
    <mergeCell ref="A61:N61"/>
    <mergeCell ref="A62:N62"/>
    <mergeCell ref="A63:N63"/>
    <mergeCell ref="A64:N64"/>
    <mergeCell ref="A65:N65"/>
    <mergeCell ref="A66:N66"/>
    <mergeCell ref="A67:N67"/>
    <mergeCell ref="A68:N68"/>
    <mergeCell ref="A69:N69"/>
    <mergeCell ref="A70:N70"/>
    <mergeCell ref="A71:N71"/>
    <mergeCell ref="A72:N72"/>
    <mergeCell ref="A73:N73"/>
    <mergeCell ref="A74:N74"/>
    <mergeCell ref="A75:N75"/>
    <mergeCell ref="A76:N76"/>
    <mergeCell ref="A77:N77"/>
    <mergeCell ref="A78:N78"/>
    <mergeCell ref="A79:N79"/>
    <mergeCell ref="A80:N80"/>
    <mergeCell ref="A81:N81"/>
    <mergeCell ref="A82:N82"/>
    <mergeCell ref="A83:N83"/>
    <mergeCell ref="A84:N84"/>
    <mergeCell ref="A85:N85"/>
    <mergeCell ref="A86:N86"/>
    <mergeCell ref="A87:N87"/>
    <mergeCell ref="A88:N88"/>
    <mergeCell ref="A125:N125"/>
    <mergeCell ref="A89:N89"/>
    <mergeCell ref="A90:N90"/>
    <mergeCell ref="A91:N91"/>
    <mergeCell ref="A92:N92"/>
    <mergeCell ref="A93:N93"/>
    <mergeCell ref="A94:N94"/>
    <mergeCell ref="A95:N95"/>
    <mergeCell ref="A96:N96"/>
    <mergeCell ref="A97:N97"/>
    <mergeCell ref="A98:N98"/>
    <mergeCell ref="A99:N99"/>
    <mergeCell ref="A100:N100"/>
    <mergeCell ref="A101:N101"/>
    <mergeCell ref="A102:N102"/>
    <mergeCell ref="A103:N103"/>
    <mergeCell ref="A104:N104"/>
    <mergeCell ref="A105:N105"/>
    <mergeCell ref="A106:N106"/>
    <mergeCell ref="A107:N107"/>
    <mergeCell ref="A108:N108"/>
    <mergeCell ref="A109:N109"/>
    <mergeCell ref="A110:N110"/>
    <mergeCell ref="A111:N111"/>
    <mergeCell ref="A112:N112"/>
    <mergeCell ref="A113:N113"/>
    <mergeCell ref="A114:N114"/>
    <mergeCell ref="A115:N115"/>
    <mergeCell ref="A116:N116"/>
    <mergeCell ref="A117:N117"/>
    <mergeCell ref="A118:N118"/>
    <mergeCell ref="A119:N119"/>
    <mergeCell ref="A120:N120"/>
    <mergeCell ref="A121:N121"/>
    <mergeCell ref="A122:N122"/>
    <mergeCell ref="A124:N124"/>
    <mergeCell ref="A123:N123"/>
    <mergeCell ref="A126:N126"/>
    <mergeCell ref="A127:N127"/>
    <mergeCell ref="A128:N128"/>
    <mergeCell ref="A129:N129"/>
    <mergeCell ref="A130:N130"/>
    <mergeCell ref="A131:N131"/>
    <mergeCell ref="A132:N132"/>
    <mergeCell ref="A133:N133"/>
    <mergeCell ref="A134:N134"/>
    <mergeCell ref="A135:N135"/>
    <mergeCell ref="A136:N136"/>
    <mergeCell ref="A137:N137"/>
    <mergeCell ref="A138:N138"/>
    <mergeCell ref="A139:N139"/>
    <mergeCell ref="A140:N140"/>
    <mergeCell ref="A141:N141"/>
    <mergeCell ref="A142:N142"/>
    <mergeCell ref="A143:N143"/>
    <mergeCell ref="A144:N144"/>
    <mergeCell ref="A148:N148"/>
    <mergeCell ref="A151:N151"/>
    <mergeCell ref="A145:N145"/>
    <mergeCell ref="A146:N146"/>
    <mergeCell ref="A147:N147"/>
    <mergeCell ref="A154:N154"/>
    <mergeCell ref="A155:N155"/>
    <mergeCell ref="A157:N157"/>
    <mergeCell ref="A158:N158"/>
    <mergeCell ref="A156:N156"/>
    <mergeCell ref="A159:N159"/>
    <mergeCell ref="A160:N160"/>
    <mergeCell ref="A149:N149"/>
    <mergeCell ref="A150:N150"/>
    <mergeCell ref="A152:N152"/>
    <mergeCell ref="A153:N153"/>
    <mergeCell ref="A163:N163"/>
    <mergeCell ref="A161:N161"/>
    <mergeCell ref="A162:N162"/>
    <mergeCell ref="A165:N165"/>
    <mergeCell ref="A164:N164"/>
    <mergeCell ref="A170:N170"/>
    <mergeCell ref="A166:N166"/>
    <mergeCell ref="A167:N167"/>
    <mergeCell ref="A168:N168"/>
    <mergeCell ref="A171:N171"/>
    <mergeCell ref="A169:N169"/>
    <mergeCell ref="A173:N173"/>
    <mergeCell ref="A174:N174"/>
    <mergeCell ref="A172:N172"/>
    <mergeCell ref="A175:N175"/>
    <mergeCell ref="A176:N176"/>
    <mergeCell ref="A177:N177"/>
    <mergeCell ref="A178:N178"/>
    <mergeCell ref="A179:N179"/>
    <mergeCell ref="A180:N180"/>
    <mergeCell ref="A181:N181"/>
    <mergeCell ref="A182:N182"/>
    <mergeCell ref="A183:N183"/>
    <mergeCell ref="A184:N184"/>
    <mergeCell ref="A185:N185"/>
    <mergeCell ref="A186:N186"/>
    <mergeCell ref="A187:N187"/>
    <mergeCell ref="A188:N188"/>
    <mergeCell ref="A189:N189"/>
    <mergeCell ref="A190:N190"/>
    <mergeCell ref="A191:N191"/>
    <mergeCell ref="A192:N192"/>
    <mergeCell ref="A193:N193"/>
    <mergeCell ref="A194:N194"/>
    <mergeCell ref="A195:N195"/>
    <mergeCell ref="A196:N196"/>
    <mergeCell ref="A197:N197"/>
    <mergeCell ref="A198:N198"/>
    <mergeCell ref="A199:N199"/>
    <mergeCell ref="A200:N200"/>
    <mergeCell ref="A201:N201"/>
    <mergeCell ref="A202:N202"/>
    <mergeCell ref="A203:N203"/>
    <mergeCell ref="A204:N204"/>
    <mergeCell ref="A205:N205"/>
    <mergeCell ref="A206:N206"/>
    <mergeCell ref="A207:N207"/>
    <mergeCell ref="A208:N208"/>
    <mergeCell ref="A209:N209"/>
    <mergeCell ref="A210:N210"/>
    <mergeCell ref="A211:N211"/>
    <mergeCell ref="A212:N212"/>
    <mergeCell ref="A213:N213"/>
    <mergeCell ref="A214:N214"/>
    <mergeCell ref="A215:N215"/>
    <mergeCell ref="A216:N216"/>
    <mergeCell ref="A217:N217"/>
    <mergeCell ref="A218:N218"/>
    <mergeCell ref="A219:N219"/>
    <mergeCell ref="A220:N220"/>
    <mergeCell ref="A221:N221"/>
    <mergeCell ref="A222:N222"/>
    <mergeCell ref="A223:N223"/>
    <mergeCell ref="A224:N224"/>
    <mergeCell ref="A225:N225"/>
    <mergeCell ref="A226:N226"/>
    <mergeCell ref="A227:N227"/>
    <mergeCell ref="A228:N228"/>
    <mergeCell ref="A229:N229"/>
    <mergeCell ref="A230:N230"/>
    <mergeCell ref="A231:N231"/>
    <mergeCell ref="A232:N232"/>
    <mergeCell ref="A233:N233"/>
    <mergeCell ref="A234:N234"/>
    <mergeCell ref="A235:N235"/>
    <mergeCell ref="A236:N236"/>
    <mergeCell ref="A237:N237"/>
    <mergeCell ref="A238:N238"/>
    <mergeCell ref="A239:N239"/>
    <mergeCell ref="A240:N240"/>
    <mergeCell ref="A241:N241"/>
    <mergeCell ref="A242:N242"/>
    <mergeCell ref="A243:N243"/>
    <mergeCell ref="A244:N244"/>
    <mergeCell ref="A245:N245"/>
    <mergeCell ref="A246:N246"/>
    <mergeCell ref="A247:N247"/>
    <mergeCell ref="A248:N248"/>
    <mergeCell ref="A249:N249"/>
    <mergeCell ref="A250:N250"/>
    <mergeCell ref="A251:N251"/>
    <mergeCell ref="A252:N252"/>
    <mergeCell ref="A253:N253"/>
    <mergeCell ref="A254:N254"/>
    <mergeCell ref="A255:N255"/>
    <mergeCell ref="A256:N256"/>
    <mergeCell ref="A257:N257"/>
    <mergeCell ref="A258:N258"/>
    <mergeCell ref="A259:N259"/>
    <mergeCell ref="A260:N260"/>
    <mergeCell ref="A261:N261"/>
    <mergeCell ref="A262:N262"/>
    <mergeCell ref="A263:N263"/>
    <mergeCell ref="A264:N264"/>
    <mergeCell ref="A265:N265"/>
    <mergeCell ref="A266:N266"/>
    <mergeCell ref="A267:N267"/>
    <mergeCell ref="A268:N268"/>
    <mergeCell ref="A269:N269"/>
    <mergeCell ref="A270:N270"/>
    <mergeCell ref="A271:N271"/>
    <mergeCell ref="A272:N272"/>
    <mergeCell ref="A273:N273"/>
    <mergeCell ref="A274:N274"/>
    <mergeCell ref="A275:N275"/>
    <mergeCell ref="A276:N276"/>
    <mergeCell ref="A277:N277"/>
    <mergeCell ref="A278:N278"/>
    <mergeCell ref="A279:N279"/>
    <mergeCell ref="A280:N280"/>
    <mergeCell ref="A281:N281"/>
    <mergeCell ref="A282:N282"/>
    <mergeCell ref="A283:N283"/>
    <mergeCell ref="A284:N284"/>
    <mergeCell ref="A285:N285"/>
    <mergeCell ref="A286:N286"/>
    <mergeCell ref="A287:N287"/>
    <mergeCell ref="A288:N288"/>
    <mergeCell ref="A289:N289"/>
    <mergeCell ref="A290:N290"/>
    <mergeCell ref="A291:N291"/>
    <mergeCell ref="A292:N292"/>
    <mergeCell ref="A293:N293"/>
    <mergeCell ref="A294:N294"/>
    <mergeCell ref="A295:N295"/>
    <mergeCell ref="A296:N296"/>
    <mergeCell ref="A297:N297"/>
    <mergeCell ref="A298:N298"/>
    <mergeCell ref="A299:N299"/>
    <mergeCell ref="A300:N300"/>
    <mergeCell ref="A311:N311"/>
    <mergeCell ref="A312:N312"/>
    <mergeCell ref="A313:N313"/>
    <mergeCell ref="A314:N314"/>
    <mergeCell ref="A301:N301"/>
    <mergeCell ref="A302:N302"/>
    <mergeCell ref="A303:N303"/>
    <mergeCell ref="A304:N304"/>
    <mergeCell ref="A305:N305"/>
    <mergeCell ref="A306:N306"/>
    <mergeCell ref="A307:N307"/>
    <mergeCell ref="A308:N308"/>
    <mergeCell ref="A310:N310"/>
    <mergeCell ref="A309:N309"/>
  </mergeCells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2025-10-22T06:13:12Z</dcterms:modified>
</cp:coreProperties>
</file>