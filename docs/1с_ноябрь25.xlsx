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ksb\OneDrive\Desktop\"/>
    </mc:Choice>
  </mc:AlternateContent>
  <bookViews>
    <workbookView xWindow="0" yWindow="0" windowWidth="23040" windowHeight="8496"/>
  </bookViews>
  <sheets>
    <sheet name="Лист_1" sheetId="1" r:id="rId1"/>
  </sheets>
  <calcPr calcId="162913" refMode="R1C1"/>
</workbook>
</file>

<file path=xl/calcChain.xml><?xml version="1.0" encoding="utf-8"?>
<calcChain xmlns="http://schemas.openxmlformats.org/spreadsheetml/2006/main">
  <c r="S27" i="1" l="1"/>
  <c r="P6" i="1"/>
  <c r="P91" i="1"/>
  <c r="S20" i="1"/>
  <c r="S19" i="1"/>
  <c r="S21" i="1" l="1"/>
  <c r="O6" i="1" l="1"/>
  <c r="S18" i="1"/>
  <c r="S8" i="1" l="1"/>
  <c r="S26" i="1" l="1"/>
  <c r="S25" i="1"/>
  <c r="S23" i="1" l="1"/>
  <c r="S16" i="1"/>
  <c r="S15" i="1" l="1"/>
  <c r="S12" i="1" l="1"/>
  <c r="S11" i="1"/>
  <c r="S10" i="1"/>
  <c r="S7" i="1" l="1"/>
</calcChain>
</file>

<file path=xl/sharedStrings.xml><?xml version="1.0" encoding="utf-8"?>
<sst xmlns="http://schemas.openxmlformats.org/spreadsheetml/2006/main" count="321" uniqueCount="217">
  <si>
    <t>Контрагент</t>
  </si>
  <si>
    <t>Количество</t>
  </si>
  <si>
    <t>Сумма реализации</t>
  </si>
  <si>
    <t>Группа</t>
  </si>
  <si>
    <t>Номенклатура</t>
  </si>
  <si>
    <t>Итого</t>
  </si>
  <si>
    <t>Авангард СДП</t>
  </si>
  <si>
    <t>ККК-603р       ДРГ 63-010-815 /04/0511</t>
  </si>
  <si>
    <t>ККК-604р       ДРГ 02-010-040 /02/1510</t>
  </si>
  <si>
    <t>ККК-604р       ДРГ 02-010-040 /03/0511</t>
  </si>
  <si>
    <t>Агро-Колядичи ОАО</t>
  </si>
  <si>
    <t>Асид Баф</t>
  </si>
  <si>
    <t>Агро-Фуд РТФ ООО</t>
  </si>
  <si>
    <t>Премикс Д-П60-3 для высокопродуктивных коров       ДРГ 63-020-0075 /05/2810</t>
  </si>
  <si>
    <t>Премикс Д-ПКР-2 для молодняка КРС старше 3-х месяцев       ДРГ 02-010-037 /04/2810</t>
  </si>
  <si>
    <t>Премикс Д-ПКР-2 для молодняка КРС старше 3-х месяцев       ДРГ 02-050-037 /03/2810</t>
  </si>
  <si>
    <t>АгроКиванцы Сельскохозяйственное унитарное предприятие</t>
  </si>
  <si>
    <t>Клостат НС SP сухой</t>
  </si>
  <si>
    <t>АгроЛюкс ООО</t>
  </si>
  <si>
    <t>ККК-603р       ДРГ 63-010-815 /01/0411</t>
  </si>
  <si>
    <t>ККК-603р       ДРГ 63-010-815 /02/0311</t>
  </si>
  <si>
    <t>ККК-603р       ДРГ 63-020-1654 /01/0311</t>
  </si>
  <si>
    <t>ККК-604р       ДРГ 02-050-0381 /08/1111</t>
  </si>
  <si>
    <t>АгроПавлово СХУП</t>
  </si>
  <si>
    <t>ККК-603р       ДРГ 61-100-0596 /04/0910</t>
  </si>
  <si>
    <t>ККК-603р       ДРГ 63-020-17301 /06/1909</t>
  </si>
  <si>
    <t>ККК-603р       ДРГ 63-070-00733 /10/1109</t>
  </si>
  <si>
    <t>БелИнтерГен ООО</t>
  </si>
  <si>
    <t>Комбикорм-концентрат для телят в возрасте до 3 месяцев стартерный " Кальвостарт"       01100080-018 /01/2309</t>
  </si>
  <si>
    <t>ККК-603р       ДРГ 63-010-854 /08/3110</t>
  </si>
  <si>
    <t>Беловежский  ОАО</t>
  </si>
  <si>
    <t>ККК-603р       ДРГ 63-040-0131 /02/3110</t>
  </si>
  <si>
    <t>ККК-603р       ДРГ 63-100-020 /04/2011</t>
  </si>
  <si>
    <t>ККК-603р       ДРГ 63-300-005 /07/0111</t>
  </si>
  <si>
    <t>ККК-604р       ДРГ 02-010-7757 /03/3110</t>
  </si>
  <si>
    <t>ККК-605р       ДРГ 01-025-014 /04/3110</t>
  </si>
  <si>
    <t>НутриКАБ</t>
  </si>
  <si>
    <t>Белпромприбор ЗАО</t>
  </si>
  <si>
    <t>ККК-603к       63200105-012 /01/1411</t>
  </si>
  <si>
    <t>ККК-603р       ДРГ 63-030-16320 /02/1511</t>
  </si>
  <si>
    <t>ККК-603р       ДРГ 63-160-017 /01/1511</t>
  </si>
  <si>
    <t>ККК-604р       ДРГ 02-030-03112 /03/1511</t>
  </si>
  <si>
    <t>Оптима 100</t>
  </si>
  <si>
    <t>Алкерфид Антитокс</t>
  </si>
  <si>
    <t>БНБК ЗАО</t>
  </si>
  <si>
    <t>КемТРЕЙС пропионат хрома 0,4% сухой</t>
  </si>
  <si>
    <t>Восходящая заря СПК</t>
  </si>
  <si>
    <t>ККК-604р       ДРГ 02-025-0431 /03/2611</t>
  </si>
  <si>
    <t>Гарантагровест ООО</t>
  </si>
  <si>
    <t>ККК-603р       ДРГ 63-020-1742 /04/1111</t>
  </si>
  <si>
    <t>ККК-604р       ДРГ 02-100-020 /04/1211</t>
  </si>
  <si>
    <t>Концентрат кормовой балансирующий "Оптифид баланс"       ДРГ 63-050-10235 /01/1310</t>
  </si>
  <si>
    <t>Концентрат кормовой балансирующий "Оптифид баланс"       ДРГ 63-050-10235 /01/3010</t>
  </si>
  <si>
    <t>Гольшаны КСУП</t>
  </si>
  <si>
    <t>ККК-603р       ДРГ 61-100-080 /06/1811</t>
  </si>
  <si>
    <t>ККК-603р       ДРГ 61-150-027 /07/1811</t>
  </si>
  <si>
    <t>ККК-603р       ДРГ 63-010-75651 /08/2309</t>
  </si>
  <si>
    <t>ККК-603р       ДРГ 63-010-815 /05/1811</t>
  </si>
  <si>
    <t>ККК-603р       ДРГ 63-050-031 /08/1811</t>
  </si>
  <si>
    <t>ККК-604р       ДРГ 02-010-051 /03/1811</t>
  </si>
  <si>
    <t>ККК-605г       01500137-001 /01/0711</t>
  </si>
  <si>
    <t>Городилово ОАО</t>
  </si>
  <si>
    <t>ККК-603р       ДРГ 61-150-0246 /02/0111</t>
  </si>
  <si>
    <t>ККК-603р       ДРГ 61-150-0246 /05/1111</t>
  </si>
  <si>
    <t>ККК-603р       ДРГ 63-010-8408 /07/1011</t>
  </si>
  <si>
    <t>ККК-604р       ДРГ 02-010-051 /06/1011</t>
  </si>
  <si>
    <t>ККК-605р       ДРГ 01-050-0231 /06/1211</t>
  </si>
  <si>
    <t>Грушево-МИЛК Сельскохозяйственное унитарное предприятие</t>
  </si>
  <si>
    <t>Комбикорм-концентрат для телят в возрасте до 3 месяцев стартерный " Кальвостарт"       01100086-001 /04/0311</t>
  </si>
  <si>
    <t>Гудевичи ЗАО</t>
  </si>
  <si>
    <t>ККК-603р       ДРГ 63-020-177 /11/2910</t>
  </si>
  <si>
    <t>ККК-603р       ДРГ 63-030-15828 /07/2910</t>
  </si>
  <si>
    <t>ККК-603р       ДРГ 63-050-052 /01/2910</t>
  </si>
  <si>
    <t>ККК-603р       ДРГ 63-050-052 /05/1410</t>
  </si>
  <si>
    <t>Диталан ОДО</t>
  </si>
  <si>
    <t>Западный СГЦ ОАО</t>
  </si>
  <si>
    <t>ККК-603р       ДРГ 63-020-1322 /03/1211</t>
  </si>
  <si>
    <t>ККК-605г       01500136-010 /01/0110</t>
  </si>
  <si>
    <t>ККК-605г       01500137-001 /01/1511</t>
  </si>
  <si>
    <t>Кормикс ЧП</t>
  </si>
  <si>
    <t>ККК-603р       ДРГ 61-100-080 /03/0411</t>
  </si>
  <si>
    <t>ККК-603р       ДРГ 63-010-8423 /01/1811</t>
  </si>
  <si>
    <t>ККК-603р       ДРГ 63-010-8423 /04/0411</t>
  </si>
  <si>
    <t>ККК-603р       ДРГ 63-010-8433 /02/1811</t>
  </si>
  <si>
    <t>ККК-603р       ДРГ 63-010-8433 /05/0411</t>
  </si>
  <si>
    <t>ККК-603р       ДРГ 63-010-856 /06/1111</t>
  </si>
  <si>
    <t>ККК-603р       ДРГ 63-020-1607 /05/1211</t>
  </si>
  <si>
    <t>ККК-603р       ДРГ 63-030-183 /02/1011</t>
  </si>
  <si>
    <t>ККК-603р       ДРГ 63-030-185 /02/0411</t>
  </si>
  <si>
    <t>ККК-603р       ДРГ 63-050-051 /04/1711</t>
  </si>
  <si>
    <t>ККК-603р       ДРГ 63-160-0130 /01/0710</t>
  </si>
  <si>
    <t>ККК-603р       ДРГ 63-300-005 /03/1410</t>
  </si>
  <si>
    <t>ККК-604р       ДРГ 02-010-040 /07/1111</t>
  </si>
  <si>
    <t>ККК-604р       ДРГ 02-010-040 /10/3110</t>
  </si>
  <si>
    <t>ККК-604р       ДРГ 02-030-0391 /09/3110</t>
  </si>
  <si>
    <t>Концентрат кормовой балансирующий "Оптифид баланс"       ДРГ 61-100-1332 /02/0611</t>
  </si>
  <si>
    <t>Концентрат кормовой балансирующий "Оптифид баланс"       ДРГ 61-100-151 /01/2710</t>
  </si>
  <si>
    <t>Концентрат кормовой балансирующий "Оптифид баланс"       ДРГ 61-100-1511 /05/0511</t>
  </si>
  <si>
    <t>Концентрат кормовой балансирующий "Оптифид баланс"       ДРГ 63-050-10235 /01/1411</t>
  </si>
  <si>
    <t>Токсфин сухой</t>
  </si>
  <si>
    <t>Краснодворцы ОАО</t>
  </si>
  <si>
    <t>ККК-603р       ДРГ 63-010-8183 /04/1011</t>
  </si>
  <si>
    <t>Красный пищевик-АгроСервис ОАО  Пищевик-Агро Филиал</t>
  </si>
  <si>
    <t>ККК-603р       ДРГ 63-020-1752 /05/0111</t>
  </si>
  <si>
    <t>ККК-603р       ДРГ 63-030-15646 /06/0111</t>
  </si>
  <si>
    <t>ККК-604р       ДРГ 02-010-051 /07/3110</t>
  </si>
  <si>
    <t>Концентрат кормовой балансирующий "Оптифид баланс"       ДРГ 61-100-151 /01/1810</t>
  </si>
  <si>
    <t>КФХ Паца А.П.</t>
  </si>
  <si>
    <t>ЛогуТин КФХ</t>
  </si>
  <si>
    <t>МилкАгро УП</t>
  </si>
  <si>
    <t>Мурава ОАО  Пружанск. р-н</t>
  </si>
  <si>
    <t>ККК-603р       ДРГ 61-150-141 /09/1011</t>
  </si>
  <si>
    <t>ККК-603р       ДРГ 63-020-174 /08/1011</t>
  </si>
  <si>
    <t>Несвижские Островки ОАО</t>
  </si>
  <si>
    <t>ККК-603р       ДРГ 63-010-8338 /03/0111</t>
  </si>
  <si>
    <t>ККК-603р       ДРГ 63-030-184 /04/0111</t>
  </si>
  <si>
    <t>Несвижский райагросервис ОАО</t>
  </si>
  <si>
    <t>Новая жизнь ОАО</t>
  </si>
  <si>
    <t>ККК-603р       ДРГ 63-010-8621 /06/3110</t>
  </si>
  <si>
    <t>Озеры СПК Гродненская обл.</t>
  </si>
  <si>
    <t>ККК-603р       ДРГ 61-100-059 /09/0111</t>
  </si>
  <si>
    <t>ККК-603р       ДРГ 61-150-142 /08/0111</t>
  </si>
  <si>
    <t>ККК-603р       ДРГ 63-050-053 /03/1711</t>
  </si>
  <si>
    <t>Олекшицы РСУП</t>
  </si>
  <si>
    <t>Ополь-Агро ОАО</t>
  </si>
  <si>
    <t>Парохонское ОАО</t>
  </si>
  <si>
    <t>ПК им. Кремко</t>
  </si>
  <si>
    <t>ККК-603р       ДРГ 61-100-060 /01/2511</t>
  </si>
  <si>
    <t>ККК-603р       ДРГ 63-020-13715 /13/2511</t>
  </si>
  <si>
    <t>ККК-603р       ДРГ 63-030-0021 /03/2511</t>
  </si>
  <si>
    <t>ККК-604р       ДРГ 02-010-7748 /04/2511</t>
  </si>
  <si>
    <t>Концентрат кормовой энергетический "Аминолак"       ДРГ 61-100-065 /03/1111</t>
  </si>
  <si>
    <t>Полесская нива ОАО</t>
  </si>
  <si>
    <t>Полесье-Агроинвест СУП</t>
  </si>
  <si>
    <t>ККК-605р       ДРГ 01-050-0232 /02/0511</t>
  </si>
  <si>
    <t>Припять-2009 Государственное предприятие</t>
  </si>
  <si>
    <t>Радонежское ОАО</t>
  </si>
  <si>
    <t>ККК-603р       ДРГ 63-010-863 /02/1211</t>
  </si>
  <si>
    <t>ККК-604р       ДРГ 02-030-0391 /01/1211</t>
  </si>
  <si>
    <t>Рогознянский ОАО Жабинковский</t>
  </si>
  <si>
    <t>ККК-604р       ДРГ 02-010-051 /05/2511</t>
  </si>
  <si>
    <t>Савушкин - Луч СУП</t>
  </si>
  <si>
    <t>ККК-603р       ДРГ 63-040-0121 /01/1111</t>
  </si>
  <si>
    <t>ККК-603р       ДРГ 63-040-0121 /02/2411</t>
  </si>
  <si>
    <t>ККК-603р       ДРГ 63-050-042 /01/1011</t>
  </si>
  <si>
    <t>ККК-603р       ДРГ 63-050-042 /01/2411</t>
  </si>
  <si>
    <t>Сафволл</t>
  </si>
  <si>
    <t>Свитязянка-2003 СПК</t>
  </si>
  <si>
    <t>Снитово-Агро ОАО</t>
  </si>
  <si>
    <t>Снов Агрокомбинат СПК</t>
  </si>
  <si>
    <t>ККК-603р       ДРГ 63-015-0039 /02/1111</t>
  </si>
  <si>
    <t>Совхоз Доброволец  УКСХП</t>
  </si>
  <si>
    <t>ККК-603р       ДРГ 61-150-026 /01/1911</t>
  </si>
  <si>
    <t>ККК-603р       ДРГ 63-030-184 /09/1811</t>
  </si>
  <si>
    <t>ККК-604р       ДРГ 02-030-0391 /11/1811</t>
  </si>
  <si>
    <t>Совхоз-комбинат Заря ГП</t>
  </si>
  <si>
    <t>ККК-603р       ДРГ 63-025-0155 /01/2011</t>
  </si>
  <si>
    <t>ККК-603р       ДРГ 63-050-043 /02/2011</t>
  </si>
  <si>
    <t>Сож с/к Гомельская обл.</t>
  </si>
  <si>
    <t>ККК-603р       ДРГ 63-010-815 /03/1011</t>
  </si>
  <si>
    <t>Спорово ОАО</t>
  </si>
  <si>
    <t>Телеханы-агро ОАО</t>
  </si>
  <si>
    <t>Тышковичи-Агро ОАО</t>
  </si>
  <si>
    <t>ККК-604р       ДРГ 02-030-0391 /01/1711</t>
  </si>
  <si>
    <t>Федорский СПК</t>
  </si>
  <si>
    <t>Шапчицы-Агро ООО</t>
  </si>
  <si>
    <t>ЭффектИнвест ОАО</t>
  </si>
  <si>
    <t>ККК-603р       ДРГ 63-010-7942 /01/0511</t>
  </si>
  <si>
    <t>ККК-603р       ДРГ 63-020-1671 /10/2910</t>
  </si>
  <si>
    <t>ККК-603р       ДРГ 63-020-175 /12/3110</t>
  </si>
  <si>
    <t>ККК-603р       ДРГ 63-020-1752 /11/1010</t>
  </si>
  <si>
    <t>ККК-603р       ДРГ 63-020-18001 /05/1909</t>
  </si>
  <si>
    <t>ККК-603р       ДРГ 63-300-005 /05/1711</t>
  </si>
  <si>
    <t>ККК-604р       ДРГ 02-050-038 /11/3110</t>
  </si>
  <si>
    <t>Концентрат кормовой балансирующий "Оптифид баланс"       ДРГ 61-100-151 /04/0310</t>
  </si>
  <si>
    <t>Концентрат кормовой балансирующий "Оптифид баланс"       ДРГ 61-100-1511 /01/0611</t>
  </si>
  <si>
    <t>Концентрат кормовой энергетический "Аминолак"       ДРГ 61-100-071 /10/1010</t>
  </si>
  <si>
    <t>Концентрат кормовой энергетический "Аминолак"       ДРГ 61-100-0711 /03/0611</t>
  </si>
  <si>
    <t>Дрогичин</t>
  </si>
  <si>
    <t>ККК</t>
  </si>
  <si>
    <t>Премиксы</t>
  </si>
  <si>
    <t>Оптифид 10%</t>
  </si>
  <si>
    <t>Оптифид 5%</t>
  </si>
  <si>
    <t>Аминолак</t>
  </si>
  <si>
    <t>Оптифид интенсив откорм</t>
  </si>
  <si>
    <t xml:space="preserve">Здоровая печень </t>
  </si>
  <si>
    <t>КемТРЕЙС</t>
  </si>
  <si>
    <t>Консулагро</t>
  </si>
  <si>
    <t>603к</t>
  </si>
  <si>
    <t>605г</t>
  </si>
  <si>
    <t>Кальвостарт</t>
  </si>
  <si>
    <t>Концентрат кормовой профилактический "Здоровая печень" 63-025-027</t>
  </si>
  <si>
    <t xml:space="preserve">                           Концентрат кормовой профилактический "Здоровая печень" 63-025-027</t>
  </si>
  <si>
    <t xml:space="preserve">                            Концентрат кормовой балансирующий "Оптифид интенсив откорм" 02-050-040</t>
  </si>
  <si>
    <t>Минский завод шестерён ОАО</t>
  </si>
  <si>
    <t>2 257,50</t>
  </si>
  <si>
    <t>Доманово СПУ УП "Брестоблгаз"</t>
  </si>
  <si>
    <t>Шайтерово</t>
  </si>
  <si>
    <t>СПК им. Деньщикова</t>
  </si>
  <si>
    <t>Именинский</t>
  </si>
  <si>
    <t>АФТАБ</t>
  </si>
  <si>
    <t xml:space="preserve">Агро-Детковичи </t>
  </si>
  <si>
    <t>ОАО "Барановичхлебопродукт"</t>
  </si>
  <si>
    <t>Щучинагропродукт</t>
  </si>
  <si>
    <t>Чернавчицы</t>
  </si>
  <si>
    <t>Лядецкий</t>
  </si>
  <si>
    <t>Остромечево</t>
  </si>
  <si>
    <t>Доброселецкий с/х филиал КУП "Гроднооблдорстрой"</t>
  </si>
  <si>
    <t>Агро-Детковичи</t>
  </si>
  <si>
    <t>АГРОВЕТГАРАНТ</t>
  </si>
  <si>
    <t>Филиал СельхозАгроСервис Барановичский райагросервис</t>
  </si>
  <si>
    <t>Филиал Будча ОАО “Барановичхлебопродукт"</t>
  </si>
  <si>
    <t>Агро-сад Рассвет</t>
  </si>
  <si>
    <t>Филиал СельхозАгроСервис Барановичский райагросервис ОАО</t>
  </si>
  <si>
    <t xml:space="preserve">Остромечево </t>
  </si>
  <si>
    <t>Агро-Пелище</t>
  </si>
  <si>
    <t>Агронеманский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</si>
</sst>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sz val="8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/>
      <right/>
      <top/>
      <bottom style="thin">
        <color rgb="FFE6E6E6"/>
      </bottom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0" xfId="0" applyFont="1" applyFill="1"/>
    <xf numFmtId="0" fontId="2" fillId="0" borderId="0" xfId="0" applyFont="1" applyFill="1"/>
    <xf numFmtId="3" fontId="3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4" fillId="0" borderId="0" xfId="0" applyFont="1"/>
    <xf numFmtId="0" fontId="0" fillId="0" borderId="0" xfId="0" applyFill="1"/>
    <xf numFmtId="4" fontId="0" fillId="0" borderId="0" xfId="0" applyNumberFormat="1" applyFill="1"/>
    <xf numFmtId="0" fontId="1" fillId="0" borderId="0" xfId="0" applyFont="1"/>
    <xf numFmtId="3" fontId="2" fillId="0" borderId="0" xfId="0" applyNumberFormat="1" applyFont="1" applyFill="1"/>
    <xf numFmtId="0" fontId="1" fillId="0" borderId="0" xfId="0" applyFont="1" applyFill="1"/>
    <xf numFmtId="0" fontId="4" fillId="0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  <xf numFmtId="3" fontId="10" fillId="3" borderId="1" xfId="0" applyNumberFormat="1" applyFont="1" applyFill="1" applyBorder="1" applyAlignment="1">
      <alignment horizontal="right" vertical="top"/>
    </xf>
    <xf numFmtId="3" fontId="10" fillId="2" borderId="1" xfId="0" applyNumberFormat="1" applyFont="1" applyFill="1" applyBorder="1" applyAlignment="1">
      <alignment horizontal="right" vertical="top"/>
    </xf>
    <xf numFmtId="4" fontId="10" fillId="2" borderId="1" xfId="0" applyNumberFormat="1" applyFont="1" applyFill="1" applyBorder="1" applyAlignment="1">
      <alignment horizontal="right" vertical="top"/>
    </xf>
    <xf numFmtId="3" fontId="11" fillId="0" borderId="0" xfId="0" applyNumberFormat="1" applyFont="1" applyAlignment="1">
      <alignment horizontal="right" vertical="top"/>
    </xf>
    <xf numFmtId="4" fontId="11" fillId="0" borderId="0" xfId="0" applyNumberFormat="1" applyFont="1" applyAlignment="1">
      <alignment horizontal="right" vertical="top"/>
    </xf>
    <xf numFmtId="1" fontId="10" fillId="2" borderId="1" xfId="0" applyNumberFormat="1" applyFont="1" applyFill="1" applyBorder="1" applyAlignment="1">
      <alignment horizontal="right" vertical="top"/>
    </xf>
    <xf numFmtId="1" fontId="11" fillId="0" borderId="0" xfId="0" applyNumberFormat="1" applyFont="1" applyAlignment="1">
      <alignment horizontal="right" vertical="top"/>
    </xf>
    <xf numFmtId="2" fontId="11" fillId="0" borderId="0" xfId="0" applyNumberFormat="1" applyFont="1" applyAlignment="1">
      <alignment horizontal="right" vertical="top"/>
    </xf>
    <xf numFmtId="3" fontId="11" fillId="0" borderId="0" xfId="0" applyNumberFormat="1" applyFont="1" applyFill="1" applyAlignment="1">
      <alignment horizontal="right" vertical="top"/>
    </xf>
    <xf numFmtId="4" fontId="11" fillId="0" borderId="0" xfId="0" applyNumberFormat="1" applyFont="1" applyFill="1" applyAlignment="1">
      <alignment horizontal="right" vertical="top"/>
    </xf>
    <xf numFmtId="2" fontId="10" fillId="2" borderId="1" xfId="0" applyNumberFormat="1" applyFont="1" applyFill="1" applyBorder="1" applyAlignment="1">
      <alignment horizontal="right" vertical="top"/>
    </xf>
    <xf numFmtId="3" fontId="10" fillId="2" borderId="0" xfId="0" applyNumberFormat="1" applyFont="1" applyFill="1" applyAlignment="1">
      <alignment horizontal="right" vertical="top"/>
    </xf>
    <xf numFmtId="4" fontId="10" fillId="2" borderId="0" xfId="0" applyNumberFormat="1" applyFont="1" applyFill="1" applyAlignment="1">
      <alignment horizontal="right" vertical="top"/>
    </xf>
    <xf numFmtId="1" fontId="11" fillId="0" borderId="0" xfId="0" applyNumberFormat="1" applyFont="1" applyFill="1" applyAlignment="1">
      <alignment horizontal="right" vertical="top"/>
    </xf>
    <xf numFmtId="4" fontId="10" fillId="3" borderId="1" xfId="0" applyNumberFormat="1" applyFont="1" applyFill="1" applyBorder="1" applyAlignment="1">
      <alignment horizontal="right" vertical="top"/>
    </xf>
    <xf numFmtId="0" fontId="11" fillId="0" borderId="0" xfId="0" applyFont="1" applyAlignment="1">
      <alignment horizontal="left" vertical="top" wrapText="1" indent="10"/>
    </xf>
    <xf numFmtId="0" fontId="10" fillId="2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 wrapText="1" indent="12"/>
    </xf>
    <xf numFmtId="0" fontId="11" fillId="0" borderId="0" xfId="0" applyFont="1" applyAlignment="1">
      <alignment horizontal="left" vertical="top" wrapText="1" indent="8"/>
    </xf>
    <xf numFmtId="0" fontId="11" fillId="0" borderId="0" xfId="0" applyFont="1" applyFill="1" applyAlignment="1">
      <alignment horizontal="left" vertical="top" wrapText="1" indent="10"/>
    </xf>
    <xf numFmtId="0" fontId="11" fillId="0" borderId="0" xfId="0" applyFont="1" applyFill="1" applyAlignment="1">
      <alignment horizontal="left" vertical="top" wrapText="1" indent="8"/>
    </xf>
    <xf numFmtId="0" fontId="11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T273"/>
  <sheetViews>
    <sheetView tabSelected="1" zoomScale="88" zoomScaleNormal="88" workbookViewId="0">
      <selection activeCell="T125" sqref="T125"/>
    </sheetView>
  </sheetViews>
  <sheetFormatPr defaultColWidth="10.42578125" defaultRowHeight="11.4" customHeight="1" outlineLevelRow="6" x14ac:dyDescent="0.2"/>
  <cols>
    <col min="1" max="1" width="5.7109375" style="17" customWidth="1"/>
    <col min="2" max="2" width="3.28515625" style="17" customWidth="1"/>
    <col min="3" max="3" width="1.42578125" style="17" customWidth="1"/>
    <col min="4" max="4" width="13.85546875" style="17" customWidth="1"/>
    <col min="5" max="5" width="15.28515625" style="17" customWidth="1"/>
    <col min="6" max="6" width="3.28515625" style="17" customWidth="1"/>
    <col min="7" max="7" width="18.7109375" style="17" customWidth="1"/>
    <col min="8" max="8" width="7.140625" style="17" customWidth="1"/>
    <col min="9" max="9" width="10.140625" style="17" customWidth="1"/>
    <col min="10" max="10" width="1.28515625" style="17" customWidth="1"/>
    <col min="11" max="11" width="31.42578125" style="17" customWidth="1"/>
    <col min="12" max="13" width="7.140625" style="17" customWidth="1"/>
    <col min="14" max="14" width="4.7109375" style="17" customWidth="1"/>
    <col min="15" max="15" width="14.140625" style="17" customWidth="1"/>
    <col min="16" max="16" width="15.140625" style="17" customWidth="1"/>
    <col min="18" max="18" width="26.7109375" bestFit="1" customWidth="1"/>
    <col min="20" max="20" width="11.42578125" customWidth="1"/>
  </cols>
  <sheetData>
    <row r="1" spans="1:19" s="1" customFormat="1" ht="9.9" customHeight="1" x14ac:dyDescent="0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9" ht="12.9" customHeight="1" x14ac:dyDescent="0.2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1" t="s">
        <v>1</v>
      </c>
      <c r="P2" s="41" t="s">
        <v>2</v>
      </c>
    </row>
    <row r="3" spans="1:19" ht="12.9" customHeight="1" x14ac:dyDescent="0.2">
      <c r="A3" s="40" t="s">
        <v>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2"/>
      <c r="P3" s="42"/>
    </row>
    <row r="4" spans="1:19" ht="9" customHeight="1" x14ac:dyDescent="0.2">
      <c r="A4" s="45" t="s">
        <v>4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7"/>
      <c r="O4" s="42"/>
      <c r="P4" s="42"/>
    </row>
    <row r="5" spans="1:19" ht="6.75" customHeight="1" x14ac:dyDescent="0.2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50"/>
      <c r="O5" s="43"/>
      <c r="P5" s="43"/>
    </row>
    <row r="6" spans="1:19" ht="15" customHeight="1" x14ac:dyDescent="0.2">
      <c r="A6" s="44" t="s">
        <v>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18">
        <f>SUM(O7,O11,O13,O17,O19,O24,O28,O31,O38,O46,O49,O53,O58,O67,O73,O75,O81,O83,O85,O91,O132,O135,O143,O145,O147,O149,O151,O155,O158,O161,O167,O174,O176,O179,O181,O189,O191,O197,O199,O206,O210,O219,O221,O223,O227,O234,O237,O239,O241,O243,O247,O250,O252,O254)</f>
        <v>651187</v>
      </c>
      <c r="P6" s="32">
        <f>SUM(P7,P11,P13,P17,P19,P24,P28,P31,P38,P46,P49,P53,P58,P67,P73,P75,P81,P83,P85,P91,P132,P135,P143,P145,P147,P149,P151,P155,P158,P161,P167,P174,P176,P179,P181,P189,P191,P197,P199,P206,P210,P219,P221,P223,P227,P234,P237,P239,P241,P243,P247,P250,P252,P254)</f>
        <v>3304096.6699999995</v>
      </c>
    </row>
    <row r="7" spans="1:19" s="3" customFormat="1" ht="15" customHeight="1" x14ac:dyDescent="0.2">
      <c r="A7" s="34" t="s">
        <v>6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19">
        <v>9000</v>
      </c>
      <c r="P7" s="20">
        <v>20670</v>
      </c>
      <c r="R7" s="3" t="s">
        <v>178</v>
      </c>
      <c r="S7" s="6">
        <f>SUM(S8:S14)</f>
        <v>446650</v>
      </c>
    </row>
    <row r="8" spans="1:19" s="2" customFormat="1" ht="15" customHeight="1" outlineLevel="5" x14ac:dyDescent="0.2">
      <c r="A8" s="33" t="s">
        <v>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21">
        <v>6000</v>
      </c>
      <c r="P8" s="22">
        <v>15420</v>
      </c>
      <c r="R8" s="2" t="s">
        <v>179</v>
      </c>
      <c r="S8" s="7">
        <f>SUM(O7,O19,O24,O30,O32,O33,O34,O35,O36,O40,O41,O42,O50,O54,O55,O59,O60,O61,O62,O63,O64,O67,O76,O77,O78,O79,O83,O92,O93,O94,O95,O96,O97,O98,O99,O100,O101,O102,O103,O104,O105,O108,O109,O110,O111,O133,O136,O137,O138,O139,O151,O155,O162,O163,O168,O169,O170,O171,O182,O183,O184,O185,O189,O192,O193,O200,O201,O207,O211,O213,O212,O214,O215,O216,O224,O228,O229,O230,O234,O237,O246,O251,O255,O256,O257,O258,O259,O260,O261,O262,O263,O264)</f>
        <v>285600</v>
      </c>
    </row>
    <row r="9" spans="1:19" s="2" customFormat="1" ht="15" customHeight="1" outlineLevel="5" x14ac:dyDescent="0.2">
      <c r="A9" s="33" t="s">
        <v>8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21">
        <v>1000</v>
      </c>
      <c r="P9" s="22">
        <v>1750</v>
      </c>
      <c r="R9" s="2" t="s">
        <v>180</v>
      </c>
      <c r="S9" s="7">
        <v>20000</v>
      </c>
    </row>
    <row r="10" spans="1:19" s="2" customFormat="1" ht="15" customHeight="1" outlineLevel="5" x14ac:dyDescent="0.2">
      <c r="A10" s="33" t="s">
        <v>9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21">
        <v>2000</v>
      </c>
      <c r="P10" s="22">
        <v>3500</v>
      </c>
      <c r="R10" s="2" t="s">
        <v>181</v>
      </c>
      <c r="S10" s="7">
        <f>SUM(O113,O114,O115,O142,O202,O203,O266,O265,O267,O268,O269)</f>
        <v>84000</v>
      </c>
    </row>
    <row r="11" spans="1:19" s="3" customFormat="1" ht="15" customHeight="1" x14ac:dyDescent="0.2">
      <c r="A11" s="34" t="s">
        <v>10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19">
        <v>10000</v>
      </c>
      <c r="P11" s="20">
        <v>40023</v>
      </c>
      <c r="R11" s="2" t="s">
        <v>182</v>
      </c>
      <c r="S11" s="7">
        <f>SUM(O56,O57,O116,O117,O232,O233)</f>
        <v>45000</v>
      </c>
    </row>
    <row r="12" spans="1:19" s="2" customFormat="1" ht="15" customHeight="1" outlineLevel="5" x14ac:dyDescent="0.2">
      <c r="A12" s="33" t="s">
        <v>11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21">
        <v>10000</v>
      </c>
      <c r="P12" s="22">
        <v>40023</v>
      </c>
      <c r="R12" s="2" t="s">
        <v>183</v>
      </c>
      <c r="S12" s="7">
        <f>SUM(O186,O270,O271)</f>
        <v>7000</v>
      </c>
    </row>
    <row r="13" spans="1:19" s="3" customFormat="1" ht="15" customHeight="1" x14ac:dyDescent="0.2">
      <c r="A13" s="34" t="s">
        <v>12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19">
        <v>20000</v>
      </c>
      <c r="P13" s="20">
        <v>67684.7</v>
      </c>
      <c r="R13" s="9" t="s">
        <v>184</v>
      </c>
      <c r="S13" s="7">
        <v>2500</v>
      </c>
    </row>
    <row r="14" spans="1:19" s="2" customFormat="1" ht="15" customHeight="1" outlineLevel="5" x14ac:dyDescent="0.2">
      <c r="A14" s="33" t="s">
        <v>13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21">
        <v>16000</v>
      </c>
      <c r="P14" s="22">
        <v>54467.15</v>
      </c>
      <c r="R14" s="15" t="s">
        <v>185</v>
      </c>
      <c r="S14" s="13">
        <v>2550</v>
      </c>
    </row>
    <row r="15" spans="1:19" s="2" customFormat="1" ht="15" customHeight="1" outlineLevel="5" x14ac:dyDescent="0.2">
      <c r="A15" s="33" t="s">
        <v>14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21">
        <v>2000</v>
      </c>
      <c r="P15" s="22">
        <v>8283.07</v>
      </c>
      <c r="R15" s="2" t="s">
        <v>42</v>
      </c>
      <c r="S15" s="7">
        <f>SUM(O43,O51,O118,O148,O172,O175,O204,O220,O272)</f>
        <v>61700</v>
      </c>
    </row>
    <row r="16" spans="1:19" s="2" customFormat="1" ht="15" customHeight="1" outlineLevel="5" x14ac:dyDescent="0.2">
      <c r="A16" s="33" t="s">
        <v>15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21">
        <v>2000</v>
      </c>
      <c r="P16" s="22">
        <v>4934.4799999999996</v>
      </c>
      <c r="R16" s="2" t="s">
        <v>11</v>
      </c>
      <c r="S16" s="7">
        <f>SUM(O66,O124,O160,O178,O209,O225,O240,O242,O12)</f>
        <v>30600</v>
      </c>
    </row>
    <row r="17" spans="1:20" s="3" customFormat="1" ht="15" customHeight="1" x14ac:dyDescent="0.2">
      <c r="A17" s="34" t="s">
        <v>16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23">
        <v>25</v>
      </c>
      <c r="P17" s="20">
        <v>4471.5</v>
      </c>
      <c r="R17" s="2" t="s">
        <v>186</v>
      </c>
      <c r="S17" s="7">
        <v>50</v>
      </c>
    </row>
    <row r="18" spans="1:20" s="2" customFormat="1" ht="15" customHeight="1" outlineLevel="4" x14ac:dyDescent="0.2">
      <c r="A18" s="36" t="s">
        <v>17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24">
        <v>25</v>
      </c>
      <c r="P18" s="22">
        <v>4471.5</v>
      </c>
      <c r="R18" s="5" t="s">
        <v>36</v>
      </c>
      <c r="S18" s="13">
        <f>SUM(O37,O52,O128,O173,O188,O196,O205,O226,O273)</f>
        <v>10800</v>
      </c>
    </row>
    <row r="19" spans="1:20" s="3" customFormat="1" ht="15" customHeight="1" x14ac:dyDescent="0.2">
      <c r="A19" s="34" t="s">
        <v>18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19">
        <v>19000</v>
      </c>
      <c r="P19" s="20">
        <v>47704.05</v>
      </c>
      <c r="R19" s="5" t="s">
        <v>17</v>
      </c>
      <c r="S19" s="13">
        <f>SUM(O45,O80,O82,O166,O180,O195,O208,O222,O18)</f>
        <v>312</v>
      </c>
      <c r="T19" s="2"/>
    </row>
    <row r="20" spans="1:20" s="2" customFormat="1" ht="15" customHeight="1" outlineLevel="5" x14ac:dyDescent="0.2">
      <c r="A20" s="33" t="s">
        <v>19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21">
        <v>1000</v>
      </c>
      <c r="P20" s="22">
        <v>5068.2700000000004</v>
      </c>
      <c r="R20" s="5" t="s">
        <v>99</v>
      </c>
      <c r="S20" s="13">
        <f>SUM(O144,O194)</f>
        <v>1125</v>
      </c>
    </row>
    <row r="21" spans="1:20" s="2" customFormat="1" ht="15" customHeight="1" outlineLevel="5" x14ac:dyDescent="0.2">
      <c r="A21" s="33" t="s">
        <v>20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21">
        <v>1000</v>
      </c>
      <c r="P21" s="22">
        <v>5024.3100000000004</v>
      </c>
      <c r="R21" s="5" t="s">
        <v>43</v>
      </c>
      <c r="S21" s="13">
        <f>SUM(O44,O47,O123,O146,O159,O165,O177,O187,O198,O217)</f>
        <v>33100</v>
      </c>
    </row>
    <row r="22" spans="1:20" s="2" customFormat="1" ht="15" customHeight="1" outlineLevel="5" x14ac:dyDescent="0.2">
      <c r="A22" s="33" t="s">
        <v>21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21">
        <v>12000</v>
      </c>
      <c r="P22" s="22">
        <v>26659.62</v>
      </c>
      <c r="R22" s="2" t="s">
        <v>146</v>
      </c>
      <c r="S22" s="7">
        <v>400</v>
      </c>
    </row>
    <row r="23" spans="1:20" s="2" customFormat="1" ht="15" customHeight="1" outlineLevel="5" x14ac:dyDescent="0.2">
      <c r="A23" s="33" t="s">
        <v>22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21">
        <v>5000</v>
      </c>
      <c r="P23" s="22">
        <v>10951.85</v>
      </c>
      <c r="R23" s="3" t="s">
        <v>187</v>
      </c>
      <c r="S23" s="6">
        <f>SUM(S24:S26)</f>
        <v>66450</v>
      </c>
    </row>
    <row r="24" spans="1:20" s="3" customFormat="1" ht="15" customHeight="1" x14ac:dyDescent="0.2">
      <c r="A24" s="34" t="s">
        <v>23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19">
        <v>1550</v>
      </c>
      <c r="P24" s="20">
        <v>12920</v>
      </c>
      <c r="R24" s="2" t="s">
        <v>188</v>
      </c>
      <c r="S24" s="7">
        <v>6950</v>
      </c>
    </row>
    <row r="25" spans="1:20" s="2" customFormat="1" ht="15" customHeight="1" outlineLevel="5" x14ac:dyDescent="0.2">
      <c r="A25" s="33" t="s">
        <v>24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24">
        <v>500</v>
      </c>
      <c r="P25" s="22">
        <v>8750</v>
      </c>
      <c r="R25" s="2" t="s">
        <v>189</v>
      </c>
      <c r="S25" s="7">
        <f>SUM(O65,O87,O90,O134,O140,O141,O231,O253)</f>
        <v>43000</v>
      </c>
    </row>
    <row r="26" spans="1:20" s="2" customFormat="1" ht="15" customHeight="1" outlineLevel="5" x14ac:dyDescent="0.2">
      <c r="A26" s="33" t="s">
        <v>25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24">
        <v>600</v>
      </c>
      <c r="P26" s="22">
        <v>2370</v>
      </c>
      <c r="R26" s="2" t="s">
        <v>190</v>
      </c>
      <c r="S26" s="7">
        <f>SUM(O29,O74,O86,O244,O245,O248,O249)</f>
        <v>16500</v>
      </c>
    </row>
    <row r="27" spans="1:20" s="2" customFormat="1" ht="15" customHeight="1" outlineLevel="5" x14ac:dyDescent="0.2">
      <c r="A27" s="33" t="s">
        <v>26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24">
        <v>450</v>
      </c>
      <c r="P27" s="22">
        <v>1800</v>
      </c>
      <c r="R27" s="3" t="s">
        <v>5</v>
      </c>
      <c r="S27" s="6">
        <f>SUM(S7,S23,S15,S16,S17,S18,S19,S20,S21,S22)</f>
        <v>651187</v>
      </c>
    </row>
    <row r="28" spans="1:20" s="3" customFormat="1" ht="15" customHeight="1" x14ac:dyDescent="0.2">
      <c r="A28" s="34" t="s">
        <v>27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19">
        <v>4000</v>
      </c>
      <c r="P28" s="20">
        <v>10430</v>
      </c>
      <c r="S28" s="6"/>
    </row>
    <row r="29" spans="1:20" s="2" customFormat="1" ht="15" customHeight="1" outlineLevel="6" x14ac:dyDescent="0.2">
      <c r="A29" s="35" t="s">
        <v>28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21">
        <v>3000</v>
      </c>
      <c r="P29" s="22">
        <v>4980</v>
      </c>
    </row>
    <row r="30" spans="1:20" s="2" customFormat="1" ht="15" customHeight="1" outlineLevel="5" x14ac:dyDescent="0.2">
      <c r="A30" s="33" t="s">
        <v>29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21">
        <v>1000</v>
      </c>
      <c r="P30" s="22">
        <v>5450</v>
      </c>
    </row>
    <row r="31" spans="1:20" s="3" customFormat="1" ht="15" customHeight="1" x14ac:dyDescent="0.2">
      <c r="A31" s="34" t="s">
        <v>30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19">
        <v>32800</v>
      </c>
      <c r="P31" s="20">
        <v>220113</v>
      </c>
    </row>
    <row r="32" spans="1:20" s="2" customFormat="1" ht="15" customHeight="1" outlineLevel="5" x14ac:dyDescent="0.2">
      <c r="A32" s="33" t="s">
        <v>31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21">
        <v>9000</v>
      </c>
      <c r="P32" s="22">
        <v>78300</v>
      </c>
    </row>
    <row r="33" spans="1:16" s="2" customFormat="1" ht="15" customHeight="1" outlineLevel="5" x14ac:dyDescent="0.2">
      <c r="A33" s="33" t="s">
        <v>32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24">
        <v>800</v>
      </c>
      <c r="P33" s="22">
        <v>6736</v>
      </c>
    </row>
    <row r="34" spans="1:16" s="2" customFormat="1" ht="15" customHeight="1" outlineLevel="5" x14ac:dyDescent="0.2">
      <c r="A34" s="33" t="s">
        <v>33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21">
        <v>5600</v>
      </c>
      <c r="P34" s="22">
        <v>38192</v>
      </c>
    </row>
    <row r="35" spans="1:16" s="2" customFormat="1" ht="15" customHeight="1" outlineLevel="5" x14ac:dyDescent="0.2">
      <c r="A35" s="33" t="s">
        <v>34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21">
        <v>11500</v>
      </c>
      <c r="P35" s="22">
        <v>54050</v>
      </c>
    </row>
    <row r="36" spans="1:16" s="2" customFormat="1" ht="15" customHeight="1" outlineLevel="5" x14ac:dyDescent="0.2">
      <c r="A36" s="33" t="s">
        <v>35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21">
        <v>4000</v>
      </c>
      <c r="P36" s="22">
        <v>18800</v>
      </c>
    </row>
    <row r="37" spans="1:16" s="2" customFormat="1" ht="15" customHeight="1" outlineLevel="5" x14ac:dyDescent="0.2">
      <c r="A37" s="33" t="s">
        <v>36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21">
        <v>1900</v>
      </c>
      <c r="P37" s="22">
        <v>24035</v>
      </c>
    </row>
    <row r="38" spans="1:16" s="2" customFormat="1" ht="15" customHeight="1" x14ac:dyDescent="0.2">
      <c r="A38" s="34" t="s">
        <v>37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19">
        <v>22425</v>
      </c>
      <c r="P38" s="20">
        <v>92644.5</v>
      </c>
    </row>
    <row r="39" spans="1:16" s="8" customFormat="1" ht="15" customHeight="1" outlineLevel="5" x14ac:dyDescent="0.2">
      <c r="A39" s="33" t="s">
        <v>38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21">
        <v>6950</v>
      </c>
      <c r="P39" s="22">
        <v>17166.5</v>
      </c>
    </row>
    <row r="40" spans="1:16" s="2" customFormat="1" ht="15" customHeight="1" outlineLevel="5" x14ac:dyDescent="0.2">
      <c r="A40" s="33" t="s">
        <v>39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21">
        <v>8000</v>
      </c>
      <c r="P40" s="22">
        <v>16960</v>
      </c>
    </row>
    <row r="41" spans="1:16" s="2" customFormat="1" ht="15" customHeight="1" outlineLevel="5" x14ac:dyDescent="0.2">
      <c r="A41" s="33" t="s">
        <v>40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21">
        <v>1200</v>
      </c>
      <c r="P41" s="22">
        <v>8760</v>
      </c>
    </row>
    <row r="42" spans="1:16" s="2" customFormat="1" ht="15" customHeight="1" outlineLevel="5" x14ac:dyDescent="0.2">
      <c r="A42" s="33" t="s">
        <v>41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21">
        <v>1000</v>
      </c>
      <c r="P42" s="22">
        <v>1790</v>
      </c>
    </row>
    <row r="43" spans="1:16" s="2" customFormat="1" ht="15" customHeight="1" outlineLevel="4" x14ac:dyDescent="0.2">
      <c r="A43" s="36" t="s">
        <v>42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21">
        <v>5000</v>
      </c>
      <c r="P43" s="22">
        <v>37000</v>
      </c>
    </row>
    <row r="44" spans="1:16" s="2" customFormat="1" ht="15" customHeight="1" outlineLevel="4" x14ac:dyDescent="0.2">
      <c r="A44" s="36" t="s">
        <v>43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24">
        <v>225</v>
      </c>
      <c r="P44" s="22">
        <v>2025</v>
      </c>
    </row>
    <row r="45" spans="1:16" s="2" customFormat="1" ht="15" customHeight="1" outlineLevel="4" x14ac:dyDescent="0.2">
      <c r="A45" s="36" t="s">
        <v>17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24">
        <v>50</v>
      </c>
      <c r="P45" s="22">
        <v>8943</v>
      </c>
    </row>
    <row r="46" spans="1:16" s="3" customFormat="1" ht="15" customHeight="1" x14ac:dyDescent="0.2">
      <c r="A46" s="34" t="s">
        <v>44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19">
        <v>30050</v>
      </c>
      <c r="P46" s="20">
        <v>270688</v>
      </c>
    </row>
    <row r="47" spans="1:16" s="2" customFormat="1" ht="15" customHeight="1" outlineLevel="4" x14ac:dyDescent="0.2">
      <c r="A47" s="36" t="s">
        <v>43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21">
        <v>30000</v>
      </c>
      <c r="P47" s="22">
        <v>268000</v>
      </c>
    </row>
    <row r="48" spans="1:16" s="2" customFormat="1" ht="15" customHeight="1" outlineLevel="5" x14ac:dyDescent="0.2">
      <c r="A48" s="33" t="s">
        <v>45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24">
        <v>50</v>
      </c>
      <c r="P48" s="22">
        <v>2688</v>
      </c>
    </row>
    <row r="49" spans="1:16" ht="15" customHeight="1" x14ac:dyDescent="0.2">
      <c r="A49" s="34" t="s">
        <v>46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19">
        <v>15000</v>
      </c>
      <c r="P49" s="20">
        <v>118300</v>
      </c>
    </row>
    <row r="50" spans="1:16" s="2" customFormat="1" ht="15" customHeight="1" outlineLevel="5" x14ac:dyDescent="0.2">
      <c r="A50" s="33" t="s">
        <v>47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21">
        <v>1000</v>
      </c>
      <c r="P50" s="22">
        <v>2200</v>
      </c>
    </row>
    <row r="51" spans="1:16" s="2" customFormat="1" ht="15" customHeight="1" outlineLevel="4" x14ac:dyDescent="0.2">
      <c r="A51" s="36" t="s">
        <v>42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21">
        <v>12000</v>
      </c>
      <c r="P51" s="22">
        <v>88800</v>
      </c>
    </row>
    <row r="52" spans="1:16" s="2" customFormat="1" ht="15" customHeight="1" outlineLevel="5" x14ac:dyDescent="0.2">
      <c r="A52" s="33" t="s">
        <v>36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21">
        <v>2000</v>
      </c>
      <c r="P52" s="22">
        <v>27300</v>
      </c>
    </row>
    <row r="53" spans="1:16" s="3" customFormat="1" ht="15" customHeight="1" x14ac:dyDescent="0.2">
      <c r="A53" s="34" t="s">
        <v>48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19">
        <v>21000</v>
      </c>
      <c r="P53" s="20">
        <v>39990</v>
      </c>
    </row>
    <row r="54" spans="1:16" s="2" customFormat="1" ht="15" customHeight="1" outlineLevel="5" x14ac:dyDescent="0.2">
      <c r="A54" s="33" t="s">
        <v>49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21">
        <v>4000</v>
      </c>
      <c r="P54" s="22">
        <v>11600</v>
      </c>
    </row>
    <row r="55" spans="1:16" s="2" customFormat="1" ht="15" customHeight="1" outlineLevel="5" x14ac:dyDescent="0.2">
      <c r="A55" s="33" t="s">
        <v>50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21">
        <v>4000</v>
      </c>
      <c r="P55" s="22">
        <v>6160</v>
      </c>
    </row>
    <row r="56" spans="1:16" s="2" customFormat="1" ht="15" customHeight="1" outlineLevel="5" x14ac:dyDescent="0.2">
      <c r="A56" s="33" t="s">
        <v>51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21">
        <v>1250</v>
      </c>
      <c r="P56" s="22">
        <v>2137.5</v>
      </c>
    </row>
    <row r="57" spans="1:16" s="2" customFormat="1" ht="15" customHeight="1" outlineLevel="5" x14ac:dyDescent="0.2">
      <c r="A57" s="33" t="s">
        <v>52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21">
        <v>11750</v>
      </c>
      <c r="P57" s="22">
        <v>20092.5</v>
      </c>
    </row>
    <row r="58" spans="1:16" s="2" customFormat="1" ht="15" customHeight="1" x14ac:dyDescent="0.2">
      <c r="A58" s="34" t="s">
        <v>53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19">
        <v>18500</v>
      </c>
      <c r="P58" s="20">
        <v>75020</v>
      </c>
    </row>
    <row r="59" spans="1:16" s="2" customFormat="1" ht="15" customHeight="1" outlineLevel="5" x14ac:dyDescent="0.2">
      <c r="A59" s="33" t="s">
        <v>54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21">
        <v>1500</v>
      </c>
      <c r="P59" s="22">
        <v>20520</v>
      </c>
    </row>
    <row r="60" spans="1:16" s="2" customFormat="1" ht="15" customHeight="1" outlineLevel="5" x14ac:dyDescent="0.2">
      <c r="A60" s="33" t="s">
        <v>55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21">
        <v>2000</v>
      </c>
      <c r="P60" s="22">
        <v>10600</v>
      </c>
    </row>
    <row r="61" spans="1:16" s="2" customFormat="1" ht="15" customHeight="1" outlineLevel="5" x14ac:dyDescent="0.2">
      <c r="A61" s="33" t="s">
        <v>56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21">
        <v>2300</v>
      </c>
      <c r="P61" s="22">
        <v>5382</v>
      </c>
    </row>
    <row r="62" spans="1:16" s="2" customFormat="1" ht="15" customHeight="1" outlineLevel="5" x14ac:dyDescent="0.2">
      <c r="A62" s="33" t="s">
        <v>57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21">
        <v>1700</v>
      </c>
      <c r="P62" s="22">
        <v>3978</v>
      </c>
    </row>
    <row r="63" spans="1:16" s="2" customFormat="1" ht="15" customHeight="1" outlineLevel="5" x14ac:dyDescent="0.2">
      <c r="A63" s="33" t="s">
        <v>58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21">
        <v>2000</v>
      </c>
      <c r="P63" s="22">
        <v>6220</v>
      </c>
    </row>
    <row r="64" spans="1:16" s="2" customFormat="1" ht="15" customHeight="1" outlineLevel="5" x14ac:dyDescent="0.2">
      <c r="A64" s="33" t="s">
        <v>59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21">
        <v>2000</v>
      </c>
      <c r="P64" s="22">
        <v>5420</v>
      </c>
    </row>
    <row r="65" spans="1:16" s="8" customFormat="1" ht="15" customHeight="1" outlineLevel="5" x14ac:dyDescent="0.2">
      <c r="A65" s="33" t="s">
        <v>60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21">
        <v>4000</v>
      </c>
      <c r="P65" s="22">
        <v>11200</v>
      </c>
    </row>
    <row r="66" spans="1:16" s="2" customFormat="1" ht="15" customHeight="1" outlineLevel="5" x14ac:dyDescent="0.2">
      <c r="A66" s="33" t="s">
        <v>11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21">
        <v>3000</v>
      </c>
      <c r="P66" s="22">
        <v>11700</v>
      </c>
    </row>
    <row r="67" spans="1:16" ht="15" customHeight="1" x14ac:dyDescent="0.2">
      <c r="A67" s="34" t="s">
        <v>61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19">
        <v>14500</v>
      </c>
      <c r="P67" s="20">
        <v>67955</v>
      </c>
    </row>
    <row r="68" spans="1:16" s="2" customFormat="1" ht="15" customHeight="1" outlineLevel="5" x14ac:dyDescent="0.2">
      <c r="A68" s="33" t="s">
        <v>62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21">
        <v>5000</v>
      </c>
      <c r="P68" s="22">
        <v>24300</v>
      </c>
    </row>
    <row r="69" spans="1:16" s="2" customFormat="1" ht="15" customHeight="1" outlineLevel="5" x14ac:dyDescent="0.2">
      <c r="A69" s="33" t="s">
        <v>63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21">
        <v>4000</v>
      </c>
      <c r="P69" s="22">
        <v>19440</v>
      </c>
    </row>
    <row r="70" spans="1:16" s="2" customFormat="1" ht="15" customHeight="1" outlineLevel="5" x14ac:dyDescent="0.2">
      <c r="A70" s="33" t="s">
        <v>64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21">
        <v>3000</v>
      </c>
      <c r="P70" s="22">
        <v>16650</v>
      </c>
    </row>
    <row r="71" spans="1:16" s="2" customFormat="1" ht="15" customHeight="1" outlineLevel="5" x14ac:dyDescent="0.2">
      <c r="A71" s="33" t="s">
        <v>65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21">
        <v>2000</v>
      </c>
      <c r="P71" s="22">
        <v>5840</v>
      </c>
    </row>
    <row r="72" spans="1:16" s="2" customFormat="1" ht="15" customHeight="1" outlineLevel="5" x14ac:dyDescent="0.2">
      <c r="A72" s="33" t="s">
        <v>66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24">
        <v>500</v>
      </c>
      <c r="P72" s="22">
        <v>1725</v>
      </c>
    </row>
    <row r="73" spans="1:16" s="2" customFormat="1" ht="15" customHeight="1" x14ac:dyDescent="0.2">
      <c r="A73" s="34" t="s">
        <v>67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19">
        <v>2000</v>
      </c>
      <c r="P73" s="20">
        <v>3320</v>
      </c>
    </row>
    <row r="74" spans="1:16" s="2" customFormat="1" ht="15" customHeight="1" outlineLevel="6" x14ac:dyDescent="0.2">
      <c r="A74" s="35" t="s">
        <v>68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21">
        <v>2000</v>
      </c>
      <c r="P74" s="22">
        <v>3320</v>
      </c>
    </row>
    <row r="75" spans="1:16" s="2" customFormat="1" ht="15" customHeight="1" x14ac:dyDescent="0.2">
      <c r="A75" s="34" t="s">
        <v>69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19">
        <v>9100</v>
      </c>
      <c r="P75" s="20">
        <v>52955</v>
      </c>
    </row>
    <row r="76" spans="1:16" s="2" customFormat="1" ht="15" customHeight="1" outlineLevel="5" x14ac:dyDescent="0.2">
      <c r="A76" s="33" t="s">
        <v>70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21">
        <v>6000</v>
      </c>
      <c r="P76" s="22">
        <v>23700</v>
      </c>
    </row>
    <row r="77" spans="1:16" s="2" customFormat="1" ht="15" customHeight="1" outlineLevel="5" x14ac:dyDescent="0.2">
      <c r="A77" s="33" t="s">
        <v>71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21">
        <v>1000</v>
      </c>
      <c r="P77" s="22">
        <v>4050</v>
      </c>
    </row>
    <row r="78" spans="1:16" s="2" customFormat="1" ht="15" customHeight="1" outlineLevel="5" x14ac:dyDescent="0.2">
      <c r="A78" s="33" t="s">
        <v>72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21">
        <v>1900</v>
      </c>
      <c r="P78" s="22">
        <v>6498</v>
      </c>
    </row>
    <row r="79" spans="1:16" s="2" customFormat="1" ht="15" customHeight="1" outlineLevel="5" x14ac:dyDescent="0.2">
      <c r="A79" s="33" t="s">
        <v>73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24">
        <v>100</v>
      </c>
      <c r="P79" s="25">
        <v>342</v>
      </c>
    </row>
    <row r="80" spans="1:16" s="2" customFormat="1" ht="15" customHeight="1" outlineLevel="4" x14ac:dyDescent="0.2">
      <c r="A80" s="36" t="s">
        <v>17</v>
      </c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24">
        <v>100</v>
      </c>
      <c r="P80" s="22">
        <v>18365</v>
      </c>
    </row>
    <row r="81" spans="1:17" s="2" customFormat="1" ht="15" customHeight="1" x14ac:dyDescent="0.2">
      <c r="A81" s="34" t="s">
        <v>74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23">
        <v>25</v>
      </c>
      <c r="P81" s="20">
        <v>4359.5</v>
      </c>
    </row>
    <row r="82" spans="1:17" ht="15" customHeight="1" outlineLevel="4" x14ac:dyDescent="0.2">
      <c r="A82" s="36" t="s">
        <v>17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24">
        <v>25</v>
      </c>
      <c r="P82" s="22">
        <v>4359.5</v>
      </c>
    </row>
    <row r="83" spans="1:17" ht="15" customHeight="1" x14ac:dyDescent="0.2">
      <c r="A83" s="34" t="s">
        <v>75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19">
        <v>8000</v>
      </c>
      <c r="P83" s="20">
        <v>24960</v>
      </c>
    </row>
    <row r="84" spans="1:17" s="2" customFormat="1" ht="15" customHeight="1" outlineLevel="5" x14ac:dyDescent="0.2">
      <c r="A84" s="33" t="s">
        <v>76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21">
        <v>8000</v>
      </c>
      <c r="P84" s="22">
        <v>24960</v>
      </c>
    </row>
    <row r="85" spans="1:17" s="2" customFormat="1" ht="15" customHeight="1" x14ac:dyDescent="0.2">
      <c r="A85" s="34" t="s">
        <v>79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19">
        <v>9000</v>
      </c>
      <c r="P85" s="20">
        <v>26890</v>
      </c>
    </row>
    <row r="86" spans="1:17" s="2" customFormat="1" ht="15" customHeight="1" outlineLevel="6" x14ac:dyDescent="0.25">
      <c r="A86" s="35" t="s">
        <v>28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21">
        <v>1000</v>
      </c>
      <c r="P86" s="22">
        <v>1690</v>
      </c>
      <c r="Q86" s="12" t="s">
        <v>197</v>
      </c>
    </row>
    <row r="87" spans="1:17" s="8" customFormat="1" ht="15" customHeight="1" outlineLevel="5" x14ac:dyDescent="0.2">
      <c r="A87" s="33" t="s">
        <v>60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21">
        <v>5775</v>
      </c>
      <c r="P87" s="22">
        <v>17724</v>
      </c>
    </row>
    <row r="88" spans="1:17" s="2" customFormat="1" ht="14.4" outlineLevel="6" x14ac:dyDescent="0.2">
      <c r="A88" s="39" t="s">
        <v>196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21">
        <v>3000</v>
      </c>
      <c r="P88" s="22">
        <v>8400</v>
      </c>
    </row>
    <row r="89" spans="1:17" s="2" customFormat="1" ht="14.4" customHeight="1" outlineLevel="6" x14ac:dyDescent="0.2">
      <c r="A89" s="39" t="s">
        <v>198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21">
        <v>2775</v>
      </c>
      <c r="P89" s="22">
        <v>9324</v>
      </c>
    </row>
    <row r="90" spans="1:17" s="8" customFormat="1" ht="15" customHeight="1" outlineLevel="5" x14ac:dyDescent="0.25">
      <c r="A90" s="33" t="s">
        <v>78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21">
        <v>2225</v>
      </c>
      <c r="P90" s="22">
        <v>7476</v>
      </c>
      <c r="Q90" s="12" t="s">
        <v>198</v>
      </c>
    </row>
    <row r="91" spans="1:17" ht="15" customHeight="1" x14ac:dyDescent="0.2">
      <c r="A91" s="34" t="s">
        <v>79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19">
        <v>113900</v>
      </c>
      <c r="P91" s="20">
        <f>SUM(P92,P93,P94,P95,P96,P97,P98,P99,P100,P101,P102,P103,P104,P105,P108,P109,P110,P111,P112,P113,P114,P115,P116,P117,P118,P123,P124,P128)</f>
        <v>650984</v>
      </c>
    </row>
    <row r="92" spans="1:17" s="2" customFormat="1" ht="15" customHeight="1" outlineLevel="5" x14ac:dyDescent="0.25">
      <c r="A92" s="33" t="s">
        <v>80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21">
        <v>1500</v>
      </c>
      <c r="P92" s="22">
        <v>24615</v>
      </c>
      <c r="Q92" s="12" t="s">
        <v>198</v>
      </c>
    </row>
    <row r="93" spans="1:17" s="2" customFormat="1" ht="15" customHeight="1" outlineLevel="5" x14ac:dyDescent="0.25">
      <c r="A93" s="33" t="s">
        <v>56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21">
        <v>1500</v>
      </c>
      <c r="P93" s="22">
        <v>3855</v>
      </c>
      <c r="Q93" s="12" t="s">
        <v>199</v>
      </c>
    </row>
    <row r="94" spans="1:17" s="2" customFormat="1" ht="15" customHeight="1" outlineLevel="5" x14ac:dyDescent="0.25">
      <c r="A94" s="33" t="s">
        <v>81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21">
        <v>5000</v>
      </c>
      <c r="P94" s="22">
        <v>21500</v>
      </c>
      <c r="Q94" s="12" t="s">
        <v>200</v>
      </c>
    </row>
    <row r="95" spans="1:17" s="2" customFormat="1" ht="15" customHeight="1" outlineLevel="5" x14ac:dyDescent="0.25">
      <c r="A95" s="33" t="s">
        <v>82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21">
        <v>1000</v>
      </c>
      <c r="P95" s="22">
        <v>4300</v>
      </c>
      <c r="Q95" s="12" t="s">
        <v>200</v>
      </c>
    </row>
    <row r="96" spans="1:17" s="2" customFormat="1" ht="15" customHeight="1" outlineLevel="5" x14ac:dyDescent="0.25">
      <c r="A96" s="33" t="s">
        <v>83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21">
        <v>5000</v>
      </c>
      <c r="P96" s="22">
        <v>12600</v>
      </c>
      <c r="Q96" s="12" t="s">
        <v>200</v>
      </c>
    </row>
    <row r="97" spans="1:17" s="2" customFormat="1" ht="15" customHeight="1" outlineLevel="5" x14ac:dyDescent="0.25">
      <c r="A97" s="33" t="s">
        <v>84</v>
      </c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21">
        <v>2000</v>
      </c>
      <c r="P97" s="22">
        <v>5040</v>
      </c>
      <c r="Q97" s="12" t="s">
        <v>200</v>
      </c>
    </row>
    <row r="98" spans="1:17" s="2" customFormat="1" ht="15" customHeight="1" outlineLevel="5" x14ac:dyDescent="0.25">
      <c r="A98" s="33" t="s">
        <v>85</v>
      </c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21">
        <v>1500</v>
      </c>
      <c r="P98" s="22">
        <v>8625</v>
      </c>
      <c r="Q98" s="12" t="s">
        <v>201</v>
      </c>
    </row>
    <row r="99" spans="1:17" s="2" customFormat="1" ht="15" customHeight="1" outlineLevel="5" x14ac:dyDescent="0.25">
      <c r="A99" s="33" t="s">
        <v>86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21">
        <v>3000</v>
      </c>
      <c r="P99" s="22">
        <v>61500</v>
      </c>
      <c r="Q99" s="12" t="s">
        <v>202</v>
      </c>
    </row>
    <row r="100" spans="1:17" s="2" customFormat="1" ht="15" customHeight="1" outlineLevel="5" x14ac:dyDescent="0.25">
      <c r="A100" s="33" t="s">
        <v>49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21">
        <v>9600</v>
      </c>
      <c r="P100" s="22">
        <v>28512</v>
      </c>
      <c r="Q100" s="12" t="s">
        <v>203</v>
      </c>
    </row>
    <row r="101" spans="1:17" s="2" customFormat="1" ht="15" customHeight="1" outlineLevel="5" x14ac:dyDescent="0.25">
      <c r="A101" s="33" t="s">
        <v>87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21">
        <v>9000</v>
      </c>
      <c r="P101" s="22">
        <v>24840</v>
      </c>
      <c r="Q101" s="12" t="s">
        <v>204</v>
      </c>
    </row>
    <row r="102" spans="1:17" s="2" customFormat="1" ht="15" customHeight="1" outlineLevel="5" x14ac:dyDescent="0.25">
      <c r="A102" s="33" t="s">
        <v>88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21">
        <v>1500</v>
      </c>
      <c r="P102" s="22">
        <v>11100</v>
      </c>
      <c r="Q102" s="12" t="s">
        <v>198</v>
      </c>
    </row>
    <row r="103" spans="1:17" s="2" customFormat="1" ht="15" customHeight="1" outlineLevel="5" x14ac:dyDescent="0.25">
      <c r="A103" s="33" t="s">
        <v>89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24">
        <v>700</v>
      </c>
      <c r="P103" s="22">
        <v>2450</v>
      </c>
      <c r="Q103" s="12" t="s">
        <v>205</v>
      </c>
    </row>
    <row r="104" spans="1:17" s="2" customFormat="1" ht="15" customHeight="1" outlineLevel="5" x14ac:dyDescent="0.25">
      <c r="A104" s="33" t="s">
        <v>90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21">
        <v>2000</v>
      </c>
      <c r="P104" s="22">
        <v>14600</v>
      </c>
      <c r="Q104" s="12" t="s">
        <v>206</v>
      </c>
    </row>
    <row r="105" spans="1:17" s="2" customFormat="1" ht="15" customHeight="1" outlineLevel="5" x14ac:dyDescent="0.25">
      <c r="A105" s="33" t="s">
        <v>91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21">
        <v>2200</v>
      </c>
      <c r="P105" s="22">
        <v>15015</v>
      </c>
      <c r="Q105" s="12"/>
    </row>
    <row r="106" spans="1:17" s="2" customFormat="1" ht="14.4" outlineLevel="6" x14ac:dyDescent="0.25">
      <c r="A106" s="39" t="s">
        <v>207</v>
      </c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21">
        <v>1500</v>
      </c>
      <c r="P106" s="22">
        <v>10185</v>
      </c>
      <c r="Q106" s="12"/>
    </row>
    <row r="107" spans="1:17" s="2" customFormat="1" ht="14.4" outlineLevel="6" x14ac:dyDescent="0.2">
      <c r="A107" s="39" t="s">
        <v>205</v>
      </c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21">
        <v>700</v>
      </c>
      <c r="P107" s="22">
        <v>4830</v>
      </c>
    </row>
    <row r="108" spans="1:17" s="2" customFormat="1" ht="15" customHeight="1" outlineLevel="5" x14ac:dyDescent="0.25">
      <c r="A108" s="33" t="s">
        <v>92</v>
      </c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24">
        <v>500</v>
      </c>
      <c r="P108" s="22">
        <v>875</v>
      </c>
      <c r="Q108" s="12" t="s">
        <v>208</v>
      </c>
    </row>
    <row r="109" spans="1:17" s="2" customFormat="1" ht="15" customHeight="1" outlineLevel="5" x14ac:dyDescent="0.25">
      <c r="A109" s="33" t="s">
        <v>93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24">
        <v>500</v>
      </c>
      <c r="P109" s="22">
        <v>875</v>
      </c>
      <c r="Q109" s="12" t="s">
        <v>199</v>
      </c>
    </row>
    <row r="110" spans="1:17" s="2" customFormat="1" ht="15" customHeight="1" outlineLevel="5" x14ac:dyDescent="0.25">
      <c r="A110" s="33" t="s">
        <v>94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24">
        <v>500</v>
      </c>
      <c r="P110" s="22">
        <v>1460</v>
      </c>
      <c r="Q110" s="12" t="s">
        <v>199</v>
      </c>
    </row>
    <row r="111" spans="1:17" s="2" customFormat="1" ht="15" customHeight="1" outlineLevel="5" x14ac:dyDescent="0.25">
      <c r="A111" s="33" t="s">
        <v>66</v>
      </c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21">
        <v>3000</v>
      </c>
      <c r="P111" s="22">
        <v>10350</v>
      </c>
      <c r="Q111" s="12" t="s">
        <v>202</v>
      </c>
    </row>
    <row r="112" spans="1:17" s="2" customFormat="1" ht="14.4" outlineLevel="6" x14ac:dyDescent="0.25">
      <c r="A112" s="33" t="s">
        <v>191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21">
        <v>2000</v>
      </c>
      <c r="P112" s="22">
        <v>49380</v>
      </c>
      <c r="Q112" s="12" t="s">
        <v>206</v>
      </c>
    </row>
    <row r="113" spans="1:17" s="2" customFormat="1" ht="15" customHeight="1" outlineLevel="5" x14ac:dyDescent="0.25">
      <c r="A113" s="33" t="s">
        <v>95</v>
      </c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21">
        <v>20000</v>
      </c>
      <c r="P113" s="22">
        <v>70600</v>
      </c>
      <c r="Q113" s="12" t="s">
        <v>209</v>
      </c>
    </row>
    <row r="114" spans="1:17" s="2" customFormat="1" ht="15" customHeight="1" outlineLevel="5" x14ac:dyDescent="0.25">
      <c r="A114" s="33" t="s">
        <v>96</v>
      </c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21">
        <v>5000</v>
      </c>
      <c r="P114" s="22">
        <v>16250</v>
      </c>
      <c r="Q114" s="12" t="s">
        <v>211</v>
      </c>
    </row>
    <row r="115" spans="1:17" s="2" customFormat="1" ht="15" customHeight="1" outlineLevel="5" x14ac:dyDescent="0.25">
      <c r="A115" s="33" t="s">
        <v>97</v>
      </c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21">
        <v>3000</v>
      </c>
      <c r="P115" s="22">
        <v>10350</v>
      </c>
      <c r="Q115" s="12" t="s">
        <v>210</v>
      </c>
    </row>
    <row r="116" spans="1:17" s="2" customFormat="1" ht="15" customHeight="1" outlineLevel="5" x14ac:dyDescent="0.25">
      <c r="A116" s="33" t="s">
        <v>51</v>
      </c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21">
        <v>2000</v>
      </c>
      <c r="P116" s="22">
        <v>5300</v>
      </c>
      <c r="Q116" s="12" t="s">
        <v>212</v>
      </c>
    </row>
    <row r="117" spans="1:17" s="2" customFormat="1" ht="15" customHeight="1" outlineLevel="5" x14ac:dyDescent="0.25">
      <c r="A117" s="33" t="s">
        <v>98</v>
      </c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21">
        <v>2000</v>
      </c>
      <c r="P117" s="22">
        <v>5300</v>
      </c>
      <c r="Q117" s="12" t="s">
        <v>212</v>
      </c>
    </row>
    <row r="118" spans="1:17" s="5" customFormat="1" ht="15" customHeight="1" outlineLevel="4" x14ac:dyDescent="0.25">
      <c r="A118" s="38" t="s">
        <v>42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26">
        <v>24200</v>
      </c>
      <c r="P118" s="22">
        <v>199330</v>
      </c>
      <c r="Q118" s="12"/>
    </row>
    <row r="119" spans="1:17" s="16" customFormat="1" ht="14.4" outlineLevel="5" x14ac:dyDescent="0.2">
      <c r="A119" s="39" t="s">
        <v>213</v>
      </c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21">
        <v>1000</v>
      </c>
      <c r="P119" s="22">
        <v>8250</v>
      </c>
    </row>
    <row r="120" spans="1:17" s="16" customFormat="1" ht="14.4" outlineLevel="5" x14ac:dyDescent="0.2">
      <c r="A120" s="39" t="s">
        <v>198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21">
        <v>10000</v>
      </c>
      <c r="P120" s="22">
        <v>82500</v>
      </c>
    </row>
    <row r="121" spans="1:17" s="16" customFormat="1" ht="14.4" outlineLevel="5" x14ac:dyDescent="0.2">
      <c r="A121" s="39" t="s">
        <v>214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21">
        <v>10000</v>
      </c>
      <c r="P121" s="22">
        <v>82500</v>
      </c>
    </row>
    <row r="122" spans="1:17" s="16" customFormat="1" ht="14.4" outlineLevel="5" x14ac:dyDescent="0.2">
      <c r="A122" s="39" t="s">
        <v>212</v>
      </c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21">
        <v>3200</v>
      </c>
      <c r="P122" s="22">
        <v>26080</v>
      </c>
    </row>
    <row r="123" spans="1:17" s="2" customFormat="1" ht="15" customHeight="1" outlineLevel="4" x14ac:dyDescent="0.25">
      <c r="A123" s="36" t="s">
        <v>43</v>
      </c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24">
        <v>100</v>
      </c>
      <c r="P123" s="22">
        <v>1045</v>
      </c>
      <c r="Q123" s="12" t="s">
        <v>215</v>
      </c>
    </row>
    <row r="124" spans="1:17" s="5" customFormat="1" ht="15" customHeight="1" outlineLevel="5" x14ac:dyDescent="0.25">
      <c r="A124" s="37" t="s">
        <v>11</v>
      </c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26">
        <v>4300</v>
      </c>
      <c r="P124" s="27">
        <v>20023</v>
      </c>
      <c r="Q124" s="14"/>
    </row>
    <row r="125" spans="1:17" s="2" customFormat="1" ht="14.4" customHeight="1" outlineLevel="6" x14ac:dyDescent="0.2">
      <c r="A125" s="39" t="s">
        <v>199</v>
      </c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21">
        <v>2000</v>
      </c>
      <c r="P125" s="22">
        <v>9360</v>
      </c>
    </row>
    <row r="126" spans="1:17" s="2" customFormat="1" ht="14.4" outlineLevel="6" x14ac:dyDescent="0.2">
      <c r="A126" s="39" t="s">
        <v>201</v>
      </c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21">
        <v>700</v>
      </c>
      <c r="P126" s="22">
        <v>3367</v>
      </c>
    </row>
    <row r="127" spans="1:17" s="2" customFormat="1" ht="14.4" outlineLevel="6" x14ac:dyDescent="0.2">
      <c r="A127" s="39" t="s">
        <v>215</v>
      </c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21">
        <v>1600</v>
      </c>
      <c r="P127" s="22">
        <v>7296</v>
      </c>
    </row>
    <row r="128" spans="1:17" s="2" customFormat="1" ht="15" customHeight="1" outlineLevel="5" x14ac:dyDescent="0.2">
      <c r="A128" s="33" t="s">
        <v>36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21">
        <v>1300</v>
      </c>
      <c r="P128" s="22">
        <v>21294</v>
      </c>
    </row>
    <row r="129" spans="1:16" s="16" customFormat="1" ht="14.4" outlineLevel="6" x14ac:dyDescent="0.2">
      <c r="A129" s="39" t="s">
        <v>200</v>
      </c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21">
        <v>400</v>
      </c>
      <c r="P129" s="22">
        <v>6552</v>
      </c>
    </row>
    <row r="130" spans="1:16" s="16" customFormat="1" ht="14.4" outlineLevel="6" x14ac:dyDescent="0.2">
      <c r="A130" s="39" t="s">
        <v>198</v>
      </c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21">
        <v>300</v>
      </c>
      <c r="P130" s="22">
        <v>4914</v>
      </c>
    </row>
    <row r="131" spans="1:16" s="16" customFormat="1" ht="14.4" outlineLevel="6" x14ac:dyDescent="0.2">
      <c r="A131" s="39" t="s">
        <v>216</v>
      </c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21">
        <v>600</v>
      </c>
      <c r="P131" s="22">
        <v>9828</v>
      </c>
    </row>
    <row r="132" spans="1:16" ht="15" customHeight="1" x14ac:dyDescent="0.2">
      <c r="A132" s="34" t="s">
        <v>100</v>
      </c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19">
        <v>25000</v>
      </c>
      <c r="P132" s="20">
        <v>74810</v>
      </c>
    </row>
    <row r="133" spans="1:16" s="2" customFormat="1" ht="15" customHeight="1" outlineLevel="5" x14ac:dyDescent="0.2">
      <c r="A133" s="33" t="s">
        <v>101</v>
      </c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21">
        <v>7000</v>
      </c>
      <c r="P133" s="22">
        <v>27650</v>
      </c>
    </row>
    <row r="134" spans="1:16" s="8" customFormat="1" ht="15" customHeight="1" outlineLevel="5" x14ac:dyDescent="0.2">
      <c r="A134" s="33" t="s">
        <v>60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21">
        <v>18000</v>
      </c>
      <c r="P134" s="22">
        <v>47160</v>
      </c>
    </row>
    <row r="135" spans="1:16" s="2" customFormat="1" ht="15" customHeight="1" x14ac:dyDescent="0.2">
      <c r="A135" s="34" t="s">
        <v>102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19">
        <v>13500</v>
      </c>
      <c r="P135" s="20">
        <v>44685</v>
      </c>
    </row>
    <row r="136" spans="1:16" s="2" customFormat="1" ht="15" customHeight="1" outlineLevel="5" x14ac:dyDescent="0.2">
      <c r="A136" s="33" t="s">
        <v>103</v>
      </c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21">
        <v>4000</v>
      </c>
      <c r="P136" s="22">
        <v>13800</v>
      </c>
    </row>
    <row r="137" spans="1:16" s="2" customFormat="1" ht="15" customHeight="1" outlineLevel="5" x14ac:dyDescent="0.2">
      <c r="A137" s="33" t="s">
        <v>104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24">
        <v>500</v>
      </c>
      <c r="P137" s="22">
        <v>1380</v>
      </c>
    </row>
    <row r="138" spans="1:16" s="2" customFormat="1" ht="15" customHeight="1" outlineLevel="5" x14ac:dyDescent="0.2">
      <c r="A138" s="33" t="s">
        <v>33</v>
      </c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24">
        <v>500</v>
      </c>
      <c r="P138" s="22">
        <v>3365</v>
      </c>
    </row>
    <row r="139" spans="1:16" s="2" customFormat="1" ht="15" customHeight="1" outlineLevel="5" x14ac:dyDescent="0.2">
      <c r="A139" s="33" t="s">
        <v>105</v>
      </c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24">
        <v>500</v>
      </c>
      <c r="P139" s="22">
        <v>1490</v>
      </c>
    </row>
    <row r="140" spans="1:16" s="8" customFormat="1" ht="15" customHeight="1" outlineLevel="5" x14ac:dyDescent="0.2">
      <c r="A140" s="33" t="s">
        <v>77</v>
      </c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24">
        <v>625</v>
      </c>
      <c r="P140" s="22">
        <v>1750</v>
      </c>
    </row>
    <row r="141" spans="1:16" s="8" customFormat="1" ht="15" customHeight="1" outlineLevel="5" x14ac:dyDescent="0.2">
      <c r="A141" s="33" t="s">
        <v>60</v>
      </c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21">
        <v>2375</v>
      </c>
      <c r="P141" s="22">
        <v>6650</v>
      </c>
    </row>
    <row r="142" spans="1:16" s="2" customFormat="1" ht="15" customHeight="1" outlineLevel="5" x14ac:dyDescent="0.2">
      <c r="A142" s="33" t="s">
        <v>106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21">
        <v>5000</v>
      </c>
      <c r="P142" s="22">
        <v>16250</v>
      </c>
    </row>
    <row r="143" spans="1:16" s="2" customFormat="1" ht="15" customHeight="1" x14ac:dyDescent="0.2">
      <c r="A143" s="34" t="s">
        <v>107</v>
      </c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23">
        <v>125</v>
      </c>
      <c r="P143" s="20">
        <v>1145</v>
      </c>
    </row>
    <row r="144" spans="1:16" s="2" customFormat="1" ht="15" customHeight="1" outlineLevel="4" x14ac:dyDescent="0.2">
      <c r="A144" s="36" t="s">
        <v>99</v>
      </c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24">
        <v>125</v>
      </c>
      <c r="P144" s="22">
        <v>1145</v>
      </c>
    </row>
    <row r="145" spans="1:16" s="2" customFormat="1" ht="15" customHeight="1" x14ac:dyDescent="0.2">
      <c r="A145" s="34" t="s">
        <v>108</v>
      </c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23">
        <v>75</v>
      </c>
      <c r="P145" s="28">
        <v>675</v>
      </c>
    </row>
    <row r="146" spans="1:16" s="2" customFormat="1" ht="15" customHeight="1" outlineLevel="4" x14ac:dyDescent="0.2">
      <c r="A146" s="36" t="s">
        <v>43</v>
      </c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24">
        <v>75</v>
      </c>
      <c r="P146" s="25">
        <v>675</v>
      </c>
    </row>
    <row r="147" spans="1:16" s="2" customFormat="1" ht="15" customHeight="1" x14ac:dyDescent="0.2">
      <c r="A147" s="34" t="s">
        <v>109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19">
        <v>4000</v>
      </c>
      <c r="P147" s="20">
        <v>30400</v>
      </c>
    </row>
    <row r="148" spans="1:16" s="2" customFormat="1" ht="15" customHeight="1" outlineLevel="4" x14ac:dyDescent="0.2">
      <c r="A148" s="36" t="s">
        <v>42</v>
      </c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21">
        <v>4000</v>
      </c>
      <c r="P148" s="22">
        <v>30400</v>
      </c>
    </row>
    <row r="149" spans="1:16" s="2" customFormat="1" ht="15" customHeight="1" outlineLevel="4" x14ac:dyDescent="0.2">
      <c r="A149" s="34" t="s">
        <v>194</v>
      </c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29">
        <v>2500</v>
      </c>
      <c r="P149" s="30">
        <v>8225</v>
      </c>
    </row>
    <row r="150" spans="1:16" s="2" customFormat="1" ht="15" customHeight="1" outlineLevel="4" x14ac:dyDescent="0.2">
      <c r="A150" s="52" t="s">
        <v>193</v>
      </c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21">
        <v>2500</v>
      </c>
      <c r="P150" s="22">
        <v>8225</v>
      </c>
    </row>
    <row r="151" spans="1:16" s="2" customFormat="1" ht="15" customHeight="1" x14ac:dyDescent="0.2">
      <c r="A151" s="34" t="s">
        <v>110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19">
        <v>13000</v>
      </c>
      <c r="P151" s="20">
        <v>69755</v>
      </c>
    </row>
    <row r="152" spans="1:16" s="2" customFormat="1" ht="15" customHeight="1" outlineLevel="5" x14ac:dyDescent="0.2">
      <c r="A152" s="33" t="s">
        <v>111</v>
      </c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21">
        <v>3500</v>
      </c>
      <c r="P152" s="22">
        <v>33285</v>
      </c>
    </row>
    <row r="153" spans="1:16" s="2" customFormat="1" ht="15" customHeight="1" outlineLevel="5" x14ac:dyDescent="0.2">
      <c r="A153" s="33" t="s">
        <v>112</v>
      </c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21">
        <v>8000</v>
      </c>
      <c r="P153" s="22">
        <v>25520</v>
      </c>
    </row>
    <row r="154" spans="1:16" s="2" customFormat="1" ht="15" customHeight="1" outlineLevel="5" x14ac:dyDescent="0.2">
      <c r="A154" s="33" t="s">
        <v>90</v>
      </c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21">
        <v>1500</v>
      </c>
      <c r="P154" s="22">
        <v>10950</v>
      </c>
    </row>
    <row r="155" spans="1:16" s="2" customFormat="1" ht="15" customHeight="1" x14ac:dyDescent="0.2">
      <c r="A155" s="34" t="s">
        <v>113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19">
        <v>3300</v>
      </c>
      <c r="P155" s="20">
        <v>14648</v>
      </c>
    </row>
    <row r="156" spans="1:16" s="2" customFormat="1" ht="15" customHeight="1" outlineLevel="5" x14ac:dyDescent="0.2">
      <c r="A156" s="33" t="s">
        <v>114</v>
      </c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21">
        <v>2000</v>
      </c>
      <c r="P156" s="22">
        <v>11060</v>
      </c>
    </row>
    <row r="157" spans="1:16" s="2" customFormat="1" ht="15" customHeight="1" outlineLevel="5" x14ac:dyDescent="0.2">
      <c r="A157" s="33" t="s">
        <v>115</v>
      </c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21">
        <v>1300</v>
      </c>
      <c r="P157" s="22">
        <v>3588</v>
      </c>
    </row>
    <row r="158" spans="1:16" s="2" customFormat="1" ht="15" customHeight="1" x14ac:dyDescent="0.2">
      <c r="A158" s="34" t="s">
        <v>116</v>
      </c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23">
        <v>600</v>
      </c>
      <c r="P158" s="20">
        <v>4890</v>
      </c>
    </row>
    <row r="159" spans="1:16" s="2" customFormat="1" ht="15" customHeight="1" outlineLevel="4" x14ac:dyDescent="0.2">
      <c r="A159" s="36" t="s">
        <v>43</v>
      </c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24">
        <v>500</v>
      </c>
      <c r="P159" s="22">
        <v>4500</v>
      </c>
    </row>
    <row r="160" spans="1:16" s="2" customFormat="1" ht="15" customHeight="1" outlineLevel="5" x14ac:dyDescent="0.2">
      <c r="A160" s="33" t="s">
        <v>11</v>
      </c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24">
        <v>100</v>
      </c>
      <c r="P160" s="25">
        <v>390</v>
      </c>
    </row>
    <row r="161" spans="1:16" s="2" customFormat="1" ht="15" customHeight="1" x14ac:dyDescent="0.2">
      <c r="A161" s="34" t="s">
        <v>117</v>
      </c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19">
        <v>6500</v>
      </c>
      <c r="P161" s="20">
        <v>52885</v>
      </c>
    </row>
    <row r="162" spans="1:16" s="2" customFormat="1" ht="15" customHeight="1" outlineLevel="5" x14ac:dyDescent="0.2">
      <c r="A162" s="33" t="s">
        <v>118</v>
      </c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21">
        <v>4000</v>
      </c>
      <c r="P162" s="22">
        <v>15840</v>
      </c>
    </row>
    <row r="163" spans="1:16" s="2" customFormat="1" ht="15" customHeight="1" outlineLevel="5" x14ac:dyDescent="0.2">
      <c r="A163" s="33" t="s">
        <v>90</v>
      </c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21">
        <v>1500</v>
      </c>
      <c r="P163" s="22">
        <v>10950</v>
      </c>
    </row>
    <row r="164" spans="1:16" s="2" customFormat="1" ht="15" customHeight="1" outlineLevel="5" x14ac:dyDescent="0.2">
      <c r="A164" s="51" t="s">
        <v>192</v>
      </c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21">
        <v>550</v>
      </c>
      <c r="P164" s="22">
        <v>13580</v>
      </c>
    </row>
    <row r="165" spans="1:16" s="2" customFormat="1" ht="15" customHeight="1" outlineLevel="4" x14ac:dyDescent="0.2">
      <c r="A165" s="36" t="s">
        <v>43</v>
      </c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24">
        <v>400</v>
      </c>
      <c r="P165" s="22">
        <v>3572</v>
      </c>
    </row>
    <row r="166" spans="1:16" s="2" customFormat="1" ht="15" customHeight="1" outlineLevel="4" x14ac:dyDescent="0.2">
      <c r="A166" s="36" t="s">
        <v>17</v>
      </c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24">
        <v>50</v>
      </c>
      <c r="P166" s="22">
        <v>8943</v>
      </c>
    </row>
    <row r="167" spans="1:16" s="2" customFormat="1" ht="15" customHeight="1" x14ac:dyDescent="0.2">
      <c r="A167" s="34" t="s">
        <v>119</v>
      </c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19">
        <v>8500</v>
      </c>
      <c r="P167" s="20">
        <v>80350</v>
      </c>
    </row>
    <row r="168" spans="1:16" s="2" customFormat="1" ht="15" customHeight="1" outlineLevel="5" x14ac:dyDescent="0.2">
      <c r="A168" s="33" t="s">
        <v>120</v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24">
        <v>500</v>
      </c>
      <c r="P168" s="22">
        <v>9610</v>
      </c>
    </row>
    <row r="169" spans="1:16" s="2" customFormat="1" ht="15" customHeight="1" outlineLevel="5" x14ac:dyDescent="0.2">
      <c r="A169" s="33" t="s">
        <v>121</v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21">
        <v>3000</v>
      </c>
      <c r="P169" s="22">
        <v>20430</v>
      </c>
    </row>
    <row r="170" spans="1:16" s="2" customFormat="1" ht="15" customHeight="1" outlineLevel="5" x14ac:dyDescent="0.2">
      <c r="A170" s="33" t="s">
        <v>122</v>
      </c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24">
        <v>500</v>
      </c>
      <c r="P170" s="22">
        <v>9610</v>
      </c>
    </row>
    <row r="171" spans="1:16" s="2" customFormat="1" ht="15" customHeight="1" outlineLevel="5" x14ac:dyDescent="0.2">
      <c r="A171" s="33" t="s">
        <v>90</v>
      </c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24">
        <v>500</v>
      </c>
      <c r="P171" s="22">
        <v>3650</v>
      </c>
    </row>
    <row r="172" spans="1:16" s="2" customFormat="1" ht="15" customHeight="1" outlineLevel="4" x14ac:dyDescent="0.2">
      <c r="A172" s="36" t="s">
        <v>42</v>
      </c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21">
        <v>3000</v>
      </c>
      <c r="P172" s="22">
        <v>23400</v>
      </c>
    </row>
    <row r="173" spans="1:16" s="2" customFormat="1" ht="15" customHeight="1" outlineLevel="5" x14ac:dyDescent="0.2">
      <c r="A173" s="33" t="s">
        <v>36</v>
      </c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21">
        <v>1000</v>
      </c>
      <c r="P173" s="22">
        <v>13650</v>
      </c>
    </row>
    <row r="174" spans="1:16" s="2" customFormat="1" ht="15" customHeight="1" x14ac:dyDescent="0.2">
      <c r="A174" s="34" t="s">
        <v>123</v>
      </c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19">
        <v>2000</v>
      </c>
      <c r="P174" s="20">
        <v>15600</v>
      </c>
    </row>
    <row r="175" spans="1:16" s="2" customFormat="1" ht="15" customHeight="1" outlineLevel="4" x14ac:dyDescent="0.2">
      <c r="A175" s="36" t="s">
        <v>42</v>
      </c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21">
        <v>2000</v>
      </c>
      <c r="P175" s="22">
        <v>15600</v>
      </c>
    </row>
    <row r="176" spans="1:16" s="2" customFormat="1" ht="15" customHeight="1" x14ac:dyDescent="0.2">
      <c r="A176" s="34" t="s">
        <v>124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23">
        <v>600</v>
      </c>
      <c r="P176" s="20">
        <v>4125</v>
      </c>
    </row>
    <row r="177" spans="1:17" s="2" customFormat="1" ht="15" customHeight="1" outlineLevel="4" x14ac:dyDescent="0.2">
      <c r="A177" s="36" t="s">
        <v>43</v>
      </c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24">
        <v>350</v>
      </c>
      <c r="P177" s="22">
        <v>3150</v>
      </c>
    </row>
    <row r="178" spans="1:17" s="2" customFormat="1" ht="15" customHeight="1" outlineLevel="5" x14ac:dyDescent="0.2">
      <c r="A178" s="33" t="s">
        <v>11</v>
      </c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24">
        <v>250</v>
      </c>
      <c r="P178" s="25">
        <v>975</v>
      </c>
    </row>
    <row r="179" spans="1:17" s="2" customFormat="1" ht="15" customHeight="1" x14ac:dyDescent="0.2">
      <c r="A179" s="34" t="s">
        <v>125</v>
      </c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23">
        <v>2</v>
      </c>
      <c r="P179" s="28">
        <v>379.32</v>
      </c>
    </row>
    <row r="180" spans="1:17" s="2" customFormat="1" ht="15" customHeight="1" outlineLevel="4" x14ac:dyDescent="0.2">
      <c r="A180" s="36" t="s">
        <v>17</v>
      </c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24">
        <v>2</v>
      </c>
      <c r="P180" s="25">
        <v>379.32</v>
      </c>
    </row>
    <row r="181" spans="1:17" s="10" customFormat="1" ht="15" customHeight="1" x14ac:dyDescent="0.2">
      <c r="A181" s="34" t="s">
        <v>126</v>
      </c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19">
        <v>14250</v>
      </c>
      <c r="P181" s="20">
        <v>87517.5</v>
      </c>
      <c r="Q181" s="11"/>
    </row>
    <row r="182" spans="1:17" s="5" customFormat="1" ht="15" customHeight="1" outlineLevel="5" x14ac:dyDescent="0.2">
      <c r="A182" s="37" t="s">
        <v>127</v>
      </c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26">
        <v>1500</v>
      </c>
      <c r="P182" s="27">
        <v>22365</v>
      </c>
    </row>
    <row r="183" spans="1:17" s="5" customFormat="1" ht="15" customHeight="1" outlineLevel="5" x14ac:dyDescent="0.2">
      <c r="A183" s="37" t="s">
        <v>128</v>
      </c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26">
        <v>4000</v>
      </c>
      <c r="P183" s="27">
        <v>14160</v>
      </c>
    </row>
    <row r="184" spans="1:17" s="5" customFormat="1" ht="15" customHeight="1" outlineLevel="5" x14ac:dyDescent="0.2">
      <c r="A184" s="37" t="s">
        <v>129</v>
      </c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26">
        <v>1000</v>
      </c>
      <c r="P184" s="27">
        <v>5150</v>
      </c>
    </row>
    <row r="185" spans="1:17" s="5" customFormat="1" ht="15" customHeight="1" outlineLevel="5" x14ac:dyDescent="0.2">
      <c r="A185" s="37" t="s">
        <v>130</v>
      </c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26">
        <v>2000</v>
      </c>
      <c r="P185" s="27">
        <v>7100</v>
      </c>
    </row>
    <row r="186" spans="1:17" s="5" customFormat="1" ht="15" customHeight="1" outlineLevel="5" x14ac:dyDescent="0.2">
      <c r="A186" s="37" t="s">
        <v>131</v>
      </c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26">
        <v>5000</v>
      </c>
      <c r="P186" s="27">
        <v>29650</v>
      </c>
    </row>
    <row r="187" spans="1:17" s="5" customFormat="1" ht="15" customHeight="1" outlineLevel="4" x14ac:dyDescent="0.2">
      <c r="A187" s="38" t="s">
        <v>43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26">
        <v>250</v>
      </c>
      <c r="P187" s="27" t="s">
        <v>195</v>
      </c>
    </row>
    <row r="188" spans="1:17" s="5" customFormat="1" ht="15" customHeight="1" outlineLevel="5" x14ac:dyDescent="0.2">
      <c r="A188" s="37" t="s">
        <v>36</v>
      </c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1">
        <v>500</v>
      </c>
      <c r="P188" s="27">
        <v>6835</v>
      </c>
    </row>
    <row r="189" spans="1:17" s="2" customFormat="1" ht="15" customHeight="1" x14ac:dyDescent="0.2">
      <c r="A189" s="34" t="s">
        <v>132</v>
      </c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19">
        <v>2000</v>
      </c>
      <c r="P189" s="20">
        <v>5960</v>
      </c>
    </row>
    <row r="190" spans="1:17" s="2" customFormat="1" ht="15" customHeight="1" outlineLevel="5" x14ac:dyDescent="0.2">
      <c r="A190" s="33" t="s">
        <v>59</v>
      </c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21">
        <v>2000</v>
      </c>
      <c r="P190" s="22">
        <v>5960</v>
      </c>
    </row>
    <row r="191" spans="1:17" s="2" customFormat="1" ht="15" customHeight="1" x14ac:dyDescent="0.2">
      <c r="A191" s="34" t="s">
        <v>133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19">
        <v>7250</v>
      </c>
      <c r="P191" s="20">
        <v>34603</v>
      </c>
    </row>
    <row r="192" spans="1:17" s="2" customFormat="1" ht="15" customHeight="1" outlineLevel="5" x14ac:dyDescent="0.2">
      <c r="A192" s="33" t="s">
        <v>8</v>
      </c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21">
        <v>3000</v>
      </c>
      <c r="P192" s="22">
        <v>5250</v>
      </c>
    </row>
    <row r="193" spans="1:16" s="2" customFormat="1" ht="15" customHeight="1" outlineLevel="5" x14ac:dyDescent="0.2">
      <c r="A193" s="33" t="s">
        <v>134</v>
      </c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21">
        <v>3000</v>
      </c>
      <c r="P193" s="22">
        <v>10350</v>
      </c>
    </row>
    <row r="194" spans="1:16" s="2" customFormat="1" ht="15" customHeight="1" outlineLevel="4" x14ac:dyDescent="0.2">
      <c r="A194" s="36" t="s">
        <v>99</v>
      </c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21">
        <v>1000</v>
      </c>
      <c r="P194" s="22">
        <v>7330</v>
      </c>
    </row>
    <row r="195" spans="1:16" s="2" customFormat="1" ht="15" customHeight="1" outlineLevel="4" x14ac:dyDescent="0.2">
      <c r="A195" s="36" t="s">
        <v>17</v>
      </c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24">
        <v>50</v>
      </c>
      <c r="P195" s="22">
        <v>8943</v>
      </c>
    </row>
    <row r="196" spans="1:16" s="2" customFormat="1" ht="15" customHeight="1" outlineLevel="5" x14ac:dyDescent="0.2">
      <c r="A196" s="33" t="s">
        <v>36</v>
      </c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24">
        <v>200</v>
      </c>
      <c r="P196" s="22">
        <v>2730</v>
      </c>
    </row>
    <row r="197" spans="1:16" s="2" customFormat="1" ht="15" customHeight="1" x14ac:dyDescent="0.2">
      <c r="A197" s="34" t="s">
        <v>135</v>
      </c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23">
        <v>300</v>
      </c>
      <c r="P197" s="20">
        <v>2700</v>
      </c>
    </row>
    <row r="198" spans="1:16" s="2" customFormat="1" ht="15" customHeight="1" outlineLevel="4" x14ac:dyDescent="0.2">
      <c r="A198" s="36" t="s">
        <v>43</v>
      </c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24">
        <v>300</v>
      </c>
      <c r="P198" s="22">
        <v>2700</v>
      </c>
    </row>
    <row r="199" spans="1:16" s="2" customFormat="1" ht="15" customHeight="1" x14ac:dyDescent="0.2">
      <c r="A199" s="34" t="s">
        <v>136</v>
      </c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19">
        <v>21000</v>
      </c>
      <c r="P199" s="20">
        <v>103530</v>
      </c>
    </row>
    <row r="200" spans="1:16" s="2" customFormat="1" ht="15" customHeight="1" outlineLevel="5" x14ac:dyDescent="0.2">
      <c r="A200" s="33" t="s">
        <v>137</v>
      </c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21">
        <v>7000</v>
      </c>
      <c r="P200" s="22">
        <v>39200</v>
      </c>
    </row>
    <row r="201" spans="1:16" s="2" customFormat="1" ht="15" customHeight="1" outlineLevel="5" x14ac:dyDescent="0.2">
      <c r="A201" s="33" t="s">
        <v>138</v>
      </c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21">
        <v>1000</v>
      </c>
      <c r="P201" s="22">
        <v>2920</v>
      </c>
    </row>
    <row r="202" spans="1:16" s="2" customFormat="1" ht="15" customHeight="1" outlineLevel="5" x14ac:dyDescent="0.2">
      <c r="A202" s="33" t="s">
        <v>96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24">
        <v>75</v>
      </c>
      <c r="P202" s="25">
        <v>243.75</v>
      </c>
    </row>
    <row r="203" spans="1:16" s="2" customFormat="1" ht="15" customHeight="1" outlineLevel="5" x14ac:dyDescent="0.2">
      <c r="A203" s="33" t="s">
        <v>97</v>
      </c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21">
        <v>9925</v>
      </c>
      <c r="P203" s="22">
        <v>32256.25</v>
      </c>
    </row>
    <row r="204" spans="1:16" s="2" customFormat="1" ht="15" customHeight="1" outlineLevel="4" x14ac:dyDescent="0.2">
      <c r="A204" s="36" t="s">
        <v>42</v>
      </c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21">
        <v>2000</v>
      </c>
      <c r="P204" s="22">
        <v>15600</v>
      </c>
    </row>
    <row r="205" spans="1:16" s="2" customFormat="1" ht="15" customHeight="1" outlineLevel="5" x14ac:dyDescent="0.2">
      <c r="A205" s="33" t="s">
        <v>36</v>
      </c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21">
        <v>1000</v>
      </c>
      <c r="P205" s="22">
        <v>13310</v>
      </c>
    </row>
    <row r="206" spans="1:16" s="3" customFormat="1" ht="15" customHeight="1" x14ac:dyDescent="0.2">
      <c r="A206" s="34" t="s">
        <v>139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19">
        <v>1705</v>
      </c>
      <c r="P206" s="20">
        <v>6658.3</v>
      </c>
    </row>
    <row r="207" spans="1:16" s="2" customFormat="1" ht="15" customHeight="1" outlineLevel="5" x14ac:dyDescent="0.2">
      <c r="A207" s="33" t="s">
        <v>140</v>
      </c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21">
        <v>1000</v>
      </c>
      <c r="P207" s="22">
        <v>2980</v>
      </c>
    </row>
    <row r="208" spans="1:16" s="2" customFormat="1" ht="15" customHeight="1" outlineLevel="4" x14ac:dyDescent="0.2">
      <c r="A208" s="36" t="s">
        <v>17</v>
      </c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24">
        <v>5</v>
      </c>
      <c r="P208" s="25">
        <v>948.3</v>
      </c>
    </row>
    <row r="209" spans="1:16" s="2" customFormat="1" ht="15" customHeight="1" outlineLevel="5" x14ac:dyDescent="0.2">
      <c r="A209" s="33" t="s">
        <v>11</v>
      </c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24">
        <v>700</v>
      </c>
      <c r="P209" s="22">
        <v>2730</v>
      </c>
    </row>
    <row r="210" spans="1:16" s="3" customFormat="1" ht="15" customHeight="1" x14ac:dyDescent="0.2">
      <c r="A210" s="34" t="s">
        <v>141</v>
      </c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19">
        <v>18300</v>
      </c>
      <c r="P210" s="20">
        <v>230055</v>
      </c>
    </row>
    <row r="211" spans="1:16" s="2" customFormat="1" ht="15" customHeight="1" outlineLevel="5" x14ac:dyDescent="0.2">
      <c r="A211" s="33" t="s">
        <v>142</v>
      </c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21">
        <v>2000</v>
      </c>
      <c r="P211" s="22">
        <v>32660</v>
      </c>
    </row>
    <row r="212" spans="1:16" s="2" customFormat="1" ht="15" customHeight="1" outlineLevel="5" x14ac:dyDescent="0.2">
      <c r="A212" s="33" t="s">
        <v>143</v>
      </c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21">
        <v>1000</v>
      </c>
      <c r="P212" s="22">
        <v>16330</v>
      </c>
    </row>
    <row r="213" spans="1:16" s="2" customFormat="1" ht="15" customHeight="1" outlineLevel="5" x14ac:dyDescent="0.2">
      <c r="A213" s="33" t="s">
        <v>144</v>
      </c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21">
        <v>5000</v>
      </c>
      <c r="P213" s="22">
        <v>68750</v>
      </c>
    </row>
    <row r="214" spans="1:16" s="2" customFormat="1" ht="15" customHeight="1" outlineLevel="5" x14ac:dyDescent="0.2">
      <c r="A214" s="33" t="s">
        <v>145</v>
      </c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21">
        <v>5000</v>
      </c>
      <c r="P214" s="22">
        <v>68750</v>
      </c>
    </row>
    <row r="215" spans="1:16" s="2" customFormat="1" ht="15" customHeight="1" outlineLevel="5" x14ac:dyDescent="0.2">
      <c r="A215" s="33" t="s">
        <v>90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21">
        <v>2975</v>
      </c>
      <c r="P215" s="22">
        <v>21717.5</v>
      </c>
    </row>
    <row r="216" spans="1:16" s="2" customFormat="1" ht="15" customHeight="1" outlineLevel="5" x14ac:dyDescent="0.2">
      <c r="A216" s="33" t="s">
        <v>40</v>
      </c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21">
        <v>1025</v>
      </c>
      <c r="P216" s="22">
        <v>7482.5</v>
      </c>
    </row>
    <row r="217" spans="1:16" s="2" customFormat="1" ht="15" customHeight="1" outlineLevel="4" x14ac:dyDescent="0.2">
      <c r="A217" s="36" t="s">
        <v>43</v>
      </c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24">
        <v>900</v>
      </c>
      <c r="P217" s="22">
        <v>8037</v>
      </c>
    </row>
    <row r="218" spans="1:16" s="2" customFormat="1" ht="15" customHeight="1" outlineLevel="4" x14ac:dyDescent="0.2">
      <c r="A218" s="36" t="s">
        <v>146</v>
      </c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24">
        <v>400</v>
      </c>
      <c r="P218" s="22">
        <v>6328</v>
      </c>
    </row>
    <row r="219" spans="1:16" s="2" customFormat="1" ht="15" customHeight="1" x14ac:dyDescent="0.2">
      <c r="A219" s="34" t="s">
        <v>147</v>
      </c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19">
        <v>6000</v>
      </c>
      <c r="P219" s="20">
        <v>46800</v>
      </c>
    </row>
    <row r="220" spans="1:16" s="2" customFormat="1" ht="15" customHeight="1" outlineLevel="4" x14ac:dyDescent="0.2">
      <c r="A220" s="36" t="s">
        <v>42</v>
      </c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21">
        <v>6000</v>
      </c>
      <c r="P220" s="22">
        <v>46800</v>
      </c>
    </row>
    <row r="221" spans="1:16" s="2" customFormat="1" ht="15" customHeight="1" x14ac:dyDescent="0.2">
      <c r="A221" s="34" t="s">
        <v>148</v>
      </c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23">
        <v>5</v>
      </c>
      <c r="P221" s="28">
        <v>948.3</v>
      </c>
    </row>
    <row r="222" spans="1:16" s="2" customFormat="1" ht="15" customHeight="1" outlineLevel="4" x14ac:dyDescent="0.2">
      <c r="A222" s="36" t="s">
        <v>17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24">
        <v>5</v>
      </c>
      <c r="P222" s="25">
        <v>948.3</v>
      </c>
    </row>
    <row r="223" spans="1:16" s="2" customFormat="1" ht="15" customHeight="1" x14ac:dyDescent="0.2">
      <c r="A223" s="34" t="s">
        <v>149</v>
      </c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19">
        <v>14000</v>
      </c>
      <c r="P223" s="20">
        <v>133700</v>
      </c>
    </row>
    <row r="224" spans="1:16" s="5" customFormat="1" ht="15" customHeight="1" outlineLevel="5" x14ac:dyDescent="0.2">
      <c r="A224" s="37" t="s">
        <v>150</v>
      </c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26">
        <v>2000</v>
      </c>
      <c r="P224" s="27">
        <v>67400</v>
      </c>
    </row>
    <row r="225" spans="1:16" s="5" customFormat="1" ht="15" customHeight="1" outlineLevel="5" x14ac:dyDescent="0.2">
      <c r="A225" s="37" t="s">
        <v>11</v>
      </c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26">
        <v>10000</v>
      </c>
      <c r="P225" s="27">
        <v>39000</v>
      </c>
    </row>
    <row r="226" spans="1:16" s="5" customFormat="1" ht="15" customHeight="1" outlineLevel="5" x14ac:dyDescent="0.2">
      <c r="A226" s="37" t="s">
        <v>36</v>
      </c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26">
        <v>2000</v>
      </c>
      <c r="P226" s="27">
        <v>27300</v>
      </c>
    </row>
    <row r="227" spans="1:16" s="4" customFormat="1" ht="15" customHeight="1" x14ac:dyDescent="0.2">
      <c r="A227" s="34" t="s">
        <v>151</v>
      </c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19">
        <v>42800</v>
      </c>
      <c r="P227" s="20">
        <v>104786</v>
      </c>
    </row>
    <row r="228" spans="1:16" s="2" customFormat="1" ht="15" customHeight="1" outlineLevel="5" x14ac:dyDescent="0.2">
      <c r="A228" s="33" t="s">
        <v>152</v>
      </c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21">
        <v>1300</v>
      </c>
      <c r="P228" s="22">
        <v>8671</v>
      </c>
    </row>
    <row r="229" spans="1:16" s="2" customFormat="1" ht="15" customHeight="1" outlineLevel="5" x14ac:dyDescent="0.2">
      <c r="A229" s="33" t="s">
        <v>153</v>
      </c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21">
        <v>3000</v>
      </c>
      <c r="P229" s="22">
        <v>7860</v>
      </c>
    </row>
    <row r="230" spans="1:16" s="2" customFormat="1" ht="15" customHeight="1" outlineLevel="5" x14ac:dyDescent="0.2">
      <c r="A230" s="33" t="s">
        <v>154</v>
      </c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21">
        <v>1500</v>
      </c>
      <c r="P230" s="22">
        <v>3495</v>
      </c>
    </row>
    <row r="231" spans="1:16" s="8" customFormat="1" ht="15" customHeight="1" outlineLevel="5" x14ac:dyDescent="0.2">
      <c r="A231" s="33" t="s">
        <v>78</v>
      </c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21">
        <v>9000</v>
      </c>
      <c r="P231" s="22">
        <v>24840</v>
      </c>
    </row>
    <row r="232" spans="1:16" s="2" customFormat="1" ht="15" customHeight="1" outlineLevel="5" x14ac:dyDescent="0.2">
      <c r="A232" s="33" t="s">
        <v>98</v>
      </c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21">
        <v>9750</v>
      </c>
      <c r="P232" s="22">
        <v>20865</v>
      </c>
    </row>
    <row r="233" spans="1:16" s="2" customFormat="1" ht="15" customHeight="1" outlineLevel="5" x14ac:dyDescent="0.2">
      <c r="A233" s="33" t="s">
        <v>52</v>
      </c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21">
        <v>18250</v>
      </c>
      <c r="P233" s="22">
        <v>39055</v>
      </c>
    </row>
    <row r="234" spans="1:16" s="2" customFormat="1" ht="15" customHeight="1" x14ac:dyDescent="0.2">
      <c r="A234" s="34" t="s">
        <v>155</v>
      </c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19">
        <v>7000</v>
      </c>
      <c r="P234" s="20">
        <v>35300</v>
      </c>
    </row>
    <row r="235" spans="1:16" s="2" customFormat="1" ht="15" customHeight="1" outlineLevel="5" x14ac:dyDescent="0.2">
      <c r="A235" s="33" t="s">
        <v>156</v>
      </c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21">
        <v>5000</v>
      </c>
      <c r="P235" s="22">
        <v>16300</v>
      </c>
    </row>
    <row r="236" spans="1:16" s="2" customFormat="1" ht="15" customHeight="1" outlineLevel="5" x14ac:dyDescent="0.2">
      <c r="A236" s="33" t="s">
        <v>157</v>
      </c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21">
        <v>2000</v>
      </c>
      <c r="P236" s="22">
        <v>19000</v>
      </c>
    </row>
    <row r="237" spans="1:16" s="2" customFormat="1" ht="15" customHeight="1" x14ac:dyDescent="0.2">
      <c r="A237" s="34" t="s">
        <v>158</v>
      </c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23">
        <v>600</v>
      </c>
      <c r="P237" s="20">
        <v>1542</v>
      </c>
    </row>
    <row r="238" spans="1:16" s="2" customFormat="1" ht="15" customHeight="1" outlineLevel="5" x14ac:dyDescent="0.2">
      <c r="A238" s="33" t="s">
        <v>159</v>
      </c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24">
        <v>600</v>
      </c>
      <c r="P238" s="22">
        <v>1542</v>
      </c>
    </row>
    <row r="239" spans="1:16" s="2" customFormat="1" ht="15" customHeight="1" x14ac:dyDescent="0.2">
      <c r="A239" s="34" t="s">
        <v>160</v>
      </c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23">
        <v>250</v>
      </c>
      <c r="P239" s="28">
        <v>975</v>
      </c>
    </row>
    <row r="240" spans="1:16" s="2" customFormat="1" ht="15" customHeight="1" outlineLevel="5" x14ac:dyDescent="0.2">
      <c r="A240" s="33" t="s">
        <v>11</v>
      </c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24">
        <v>250</v>
      </c>
      <c r="P240" s="25">
        <v>975</v>
      </c>
    </row>
    <row r="241" spans="1:16" s="2" customFormat="1" ht="15" customHeight="1" x14ac:dyDescent="0.2">
      <c r="A241" s="34" t="s">
        <v>161</v>
      </c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19">
        <v>2000</v>
      </c>
      <c r="P241" s="20">
        <v>7800</v>
      </c>
    </row>
    <row r="242" spans="1:16" s="2" customFormat="1" ht="15" customHeight="1" outlineLevel="5" x14ac:dyDescent="0.2">
      <c r="A242" s="33" t="s">
        <v>11</v>
      </c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21">
        <v>2000</v>
      </c>
      <c r="P242" s="22">
        <v>7800</v>
      </c>
    </row>
    <row r="243" spans="1:16" s="2" customFormat="1" ht="15" customHeight="1" x14ac:dyDescent="0.2">
      <c r="A243" s="34" t="s">
        <v>162</v>
      </c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19">
        <v>6000</v>
      </c>
      <c r="P243" s="20">
        <v>13070</v>
      </c>
    </row>
    <row r="244" spans="1:16" s="2" customFormat="1" ht="15" customHeight="1" outlineLevel="6" x14ac:dyDescent="0.2">
      <c r="A244" s="35" t="s">
        <v>28</v>
      </c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24">
        <v>500</v>
      </c>
      <c r="P244" s="25">
        <v>790</v>
      </c>
    </row>
    <row r="245" spans="1:16" s="2" customFormat="1" ht="15" customHeight="1" outlineLevel="6" x14ac:dyDescent="0.2">
      <c r="A245" s="35" t="s">
        <v>68</v>
      </c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21">
        <v>3000</v>
      </c>
      <c r="P245" s="22">
        <v>4980</v>
      </c>
    </row>
    <row r="246" spans="1:16" s="2" customFormat="1" ht="15" customHeight="1" outlineLevel="5" x14ac:dyDescent="0.2">
      <c r="A246" s="33" t="s">
        <v>163</v>
      </c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21">
        <v>2500</v>
      </c>
      <c r="P246" s="22">
        <v>7300</v>
      </c>
    </row>
    <row r="247" spans="1:16" s="2" customFormat="1" ht="15" customHeight="1" x14ac:dyDescent="0.2">
      <c r="A247" s="34" t="s">
        <v>164</v>
      </c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19">
        <v>7000</v>
      </c>
      <c r="P247" s="20">
        <v>11620</v>
      </c>
    </row>
    <row r="248" spans="1:16" s="2" customFormat="1" ht="15" customHeight="1" outlineLevel="6" x14ac:dyDescent="0.2">
      <c r="A248" s="35" t="s">
        <v>28</v>
      </c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21">
        <v>4000</v>
      </c>
      <c r="P248" s="22">
        <v>6640</v>
      </c>
    </row>
    <row r="249" spans="1:16" s="2" customFormat="1" ht="15" customHeight="1" outlineLevel="6" x14ac:dyDescent="0.2">
      <c r="A249" s="35" t="s">
        <v>68</v>
      </c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21">
        <v>3000</v>
      </c>
      <c r="P249" s="22">
        <v>4980</v>
      </c>
    </row>
    <row r="250" spans="1:16" s="2" customFormat="1" ht="15" customHeight="1" x14ac:dyDescent="0.2">
      <c r="A250" s="34" t="s">
        <v>165</v>
      </c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19">
        <v>1000</v>
      </c>
      <c r="P250" s="20">
        <v>7300</v>
      </c>
    </row>
    <row r="251" spans="1:16" s="2" customFormat="1" ht="15" customHeight="1" outlineLevel="5" x14ac:dyDescent="0.2">
      <c r="A251" s="33" t="s">
        <v>90</v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21">
        <v>1000</v>
      </c>
      <c r="P251" s="22">
        <v>7300</v>
      </c>
    </row>
    <row r="252" spans="1:16" s="2" customFormat="1" ht="15" customHeight="1" x14ac:dyDescent="0.2">
      <c r="A252" s="34" t="s">
        <v>166</v>
      </c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19">
        <v>1000</v>
      </c>
      <c r="P252" s="20">
        <v>2240</v>
      </c>
    </row>
    <row r="253" spans="1:16" s="8" customFormat="1" ht="15" customHeight="1" outlineLevel="5" x14ac:dyDescent="0.2">
      <c r="A253" s="33" t="s">
        <v>78</v>
      </c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21">
        <v>1000</v>
      </c>
      <c r="P253" s="22">
        <v>2240</v>
      </c>
    </row>
    <row r="254" spans="1:16" s="2" customFormat="1" ht="15" customHeight="1" x14ac:dyDescent="0.2">
      <c r="A254" s="34" t="s">
        <v>166</v>
      </c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19">
        <v>59150</v>
      </c>
      <c r="P254" s="20">
        <v>212337</v>
      </c>
    </row>
    <row r="255" spans="1:16" s="2" customFormat="1" ht="15" customHeight="1" outlineLevel="5" x14ac:dyDescent="0.2">
      <c r="A255" s="33" t="s">
        <v>167</v>
      </c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21">
        <v>5000</v>
      </c>
      <c r="P255" s="22">
        <v>24900</v>
      </c>
    </row>
    <row r="256" spans="1:16" s="2" customFormat="1" ht="15" customHeight="1" outlineLevel="5" x14ac:dyDescent="0.2">
      <c r="A256" s="33" t="s">
        <v>168</v>
      </c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21">
        <v>1000</v>
      </c>
      <c r="P256" s="22">
        <v>3510</v>
      </c>
    </row>
    <row r="257" spans="1:16" s="2" customFormat="1" ht="15" customHeight="1" outlineLevel="5" x14ac:dyDescent="0.2">
      <c r="A257" s="33" t="s">
        <v>169</v>
      </c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21">
        <v>1250</v>
      </c>
      <c r="P257" s="22">
        <v>3425</v>
      </c>
    </row>
    <row r="258" spans="1:16" s="2" customFormat="1" ht="15" customHeight="1" outlineLevel="5" x14ac:dyDescent="0.2">
      <c r="A258" s="33" t="s">
        <v>170</v>
      </c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24">
        <v>750</v>
      </c>
      <c r="P258" s="22">
        <v>2055</v>
      </c>
    </row>
    <row r="259" spans="1:16" s="2" customFormat="1" ht="15" customHeight="1" outlineLevel="5" x14ac:dyDescent="0.2">
      <c r="A259" s="33" t="s">
        <v>171</v>
      </c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21">
        <v>1000</v>
      </c>
      <c r="P259" s="22">
        <v>3500</v>
      </c>
    </row>
    <row r="260" spans="1:16" s="2" customFormat="1" ht="15" customHeight="1" outlineLevel="5" x14ac:dyDescent="0.2">
      <c r="A260" s="33" t="s">
        <v>26</v>
      </c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24">
        <v>250</v>
      </c>
      <c r="P260" s="25">
        <v>800</v>
      </c>
    </row>
    <row r="261" spans="1:16" s="2" customFormat="1" ht="15" customHeight="1" outlineLevel="5" x14ac:dyDescent="0.2">
      <c r="A261" s="33" t="s">
        <v>40</v>
      </c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21">
        <v>1000</v>
      </c>
      <c r="P261" s="22">
        <v>5840</v>
      </c>
    </row>
    <row r="262" spans="1:16" s="2" customFormat="1" ht="15" customHeight="1" outlineLevel="5" x14ac:dyDescent="0.2">
      <c r="A262" s="33" t="s">
        <v>91</v>
      </c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24">
        <v>225</v>
      </c>
      <c r="P262" s="22">
        <v>1221.75</v>
      </c>
    </row>
    <row r="263" spans="1:16" s="2" customFormat="1" ht="15" customHeight="1" outlineLevel="5" x14ac:dyDescent="0.2">
      <c r="A263" s="33" t="s">
        <v>172</v>
      </c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24">
        <v>775</v>
      </c>
      <c r="P263" s="22">
        <v>4208.25</v>
      </c>
    </row>
    <row r="264" spans="1:16" s="2" customFormat="1" ht="15" customHeight="1" outlineLevel="5" x14ac:dyDescent="0.2">
      <c r="A264" s="33" t="s">
        <v>173</v>
      </c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24">
        <v>500</v>
      </c>
      <c r="P264" s="22">
        <v>1160</v>
      </c>
    </row>
    <row r="265" spans="1:16" s="2" customFormat="1" ht="15" customHeight="1" outlineLevel="5" x14ac:dyDescent="0.2">
      <c r="A265" s="33" t="s">
        <v>106</v>
      </c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21">
        <v>5000</v>
      </c>
      <c r="P265" s="22">
        <v>13000</v>
      </c>
    </row>
    <row r="266" spans="1:16" s="2" customFormat="1" ht="15" customHeight="1" outlineLevel="5" x14ac:dyDescent="0.2">
      <c r="A266" s="33" t="s">
        <v>96</v>
      </c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21">
        <v>24925</v>
      </c>
      <c r="P266" s="22">
        <v>64805</v>
      </c>
    </row>
    <row r="267" spans="1:16" s="2" customFormat="1" ht="15" customHeight="1" outlineLevel="5" x14ac:dyDescent="0.2">
      <c r="A267" s="33" t="s">
        <v>174</v>
      </c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24">
        <v>75</v>
      </c>
      <c r="P267" s="25">
        <v>195</v>
      </c>
    </row>
    <row r="268" spans="1:16" s="2" customFormat="1" ht="15" customHeight="1" outlineLevel="5" x14ac:dyDescent="0.2">
      <c r="A268" s="33" t="s">
        <v>175</v>
      </c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21">
        <v>3925</v>
      </c>
      <c r="P268" s="22">
        <v>10205</v>
      </c>
    </row>
    <row r="269" spans="1:16" s="2" customFormat="1" ht="15" customHeight="1" outlineLevel="5" x14ac:dyDescent="0.2">
      <c r="A269" s="33" t="s">
        <v>97</v>
      </c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21">
        <v>7075</v>
      </c>
      <c r="P269" s="22">
        <v>18335</v>
      </c>
    </row>
    <row r="270" spans="1:16" s="2" customFormat="1" ht="15" customHeight="1" outlineLevel="5" x14ac:dyDescent="0.2">
      <c r="A270" s="33" t="s">
        <v>176</v>
      </c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21">
        <v>1000</v>
      </c>
      <c r="P270" s="22">
        <v>9720</v>
      </c>
    </row>
    <row r="271" spans="1:16" s="2" customFormat="1" ht="15" customHeight="1" outlineLevel="5" x14ac:dyDescent="0.2">
      <c r="A271" s="33" t="s">
        <v>177</v>
      </c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21">
        <v>1000</v>
      </c>
      <c r="P271" s="22">
        <v>9720</v>
      </c>
    </row>
    <row r="272" spans="1:16" s="2" customFormat="1" ht="15" customHeight="1" outlineLevel="4" x14ac:dyDescent="0.2">
      <c r="A272" s="36" t="s">
        <v>42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21">
        <v>3500</v>
      </c>
      <c r="P272" s="22">
        <v>23520</v>
      </c>
    </row>
    <row r="273" spans="1:16" s="2" customFormat="1" ht="15" customHeight="1" outlineLevel="5" x14ac:dyDescent="0.2">
      <c r="A273" s="33" t="s">
        <v>36</v>
      </c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24">
        <v>900</v>
      </c>
      <c r="P273" s="22">
        <v>12217</v>
      </c>
    </row>
  </sheetData>
  <mergeCells count="273">
    <mergeCell ref="A164:N164"/>
    <mergeCell ref="A112:N112"/>
    <mergeCell ref="A149:N149"/>
    <mergeCell ref="A150:N150"/>
    <mergeCell ref="A18:N18"/>
    <mergeCell ref="A12:N12"/>
    <mergeCell ref="A13:N13"/>
    <mergeCell ref="A14:N14"/>
    <mergeCell ref="A9:N9"/>
    <mergeCell ref="A10:N10"/>
    <mergeCell ref="A11:N11"/>
    <mergeCell ref="A36:N36"/>
    <mergeCell ref="A37:N37"/>
    <mergeCell ref="A33:N33"/>
    <mergeCell ref="A34:N34"/>
    <mergeCell ref="A35:N35"/>
    <mergeCell ref="A29:N29"/>
    <mergeCell ref="A30:N30"/>
    <mergeCell ref="A31:N31"/>
    <mergeCell ref="A32:N32"/>
    <mergeCell ref="A26:N26"/>
    <mergeCell ref="A27:N27"/>
    <mergeCell ref="A28:N28"/>
    <mergeCell ref="A23:N23"/>
    <mergeCell ref="A2:N2"/>
    <mergeCell ref="O2:O5"/>
    <mergeCell ref="A15:N15"/>
    <mergeCell ref="A16:N16"/>
    <mergeCell ref="A17:N17"/>
    <mergeCell ref="P2:P5"/>
    <mergeCell ref="A3:N3"/>
    <mergeCell ref="A6:N6"/>
    <mergeCell ref="A7:N7"/>
    <mergeCell ref="A8:N8"/>
    <mergeCell ref="A4:N5"/>
    <mergeCell ref="A24:N24"/>
    <mergeCell ref="A25:N25"/>
    <mergeCell ref="A19:N19"/>
    <mergeCell ref="A20:N20"/>
    <mergeCell ref="A21:N21"/>
    <mergeCell ref="A22:N22"/>
    <mergeCell ref="A44:N44"/>
    <mergeCell ref="A45:N45"/>
    <mergeCell ref="A41:N41"/>
    <mergeCell ref="A42:N42"/>
    <mergeCell ref="A43:N43"/>
    <mergeCell ref="A38:N38"/>
    <mergeCell ref="A39:N39"/>
    <mergeCell ref="A40:N40"/>
    <mergeCell ref="A52:N52"/>
    <mergeCell ref="A53:N53"/>
    <mergeCell ref="A48:N48"/>
    <mergeCell ref="A49:N49"/>
    <mergeCell ref="A50:N50"/>
    <mergeCell ref="A51:N51"/>
    <mergeCell ref="A46:N46"/>
    <mergeCell ref="A47:N47"/>
    <mergeCell ref="A59:N59"/>
    <mergeCell ref="A60:N60"/>
    <mergeCell ref="A61:N61"/>
    <mergeCell ref="A54:N54"/>
    <mergeCell ref="A55:N55"/>
    <mergeCell ref="A56:N56"/>
    <mergeCell ref="A57:N57"/>
    <mergeCell ref="A62:N62"/>
    <mergeCell ref="A63:N63"/>
    <mergeCell ref="A58:N58"/>
    <mergeCell ref="A64:N64"/>
    <mergeCell ref="A65:N65"/>
    <mergeCell ref="A66:N66"/>
    <mergeCell ref="A67:N67"/>
    <mergeCell ref="A68:N68"/>
    <mergeCell ref="A69:N69"/>
    <mergeCell ref="A70:N70"/>
    <mergeCell ref="A71:N71"/>
    <mergeCell ref="A72:N72"/>
    <mergeCell ref="A73:N73"/>
    <mergeCell ref="A74:N74"/>
    <mergeCell ref="A75:N75"/>
    <mergeCell ref="A76:N76"/>
    <mergeCell ref="A77:N77"/>
    <mergeCell ref="A78:N78"/>
    <mergeCell ref="A79:N79"/>
    <mergeCell ref="A80:N80"/>
    <mergeCell ref="A81:N81"/>
    <mergeCell ref="A91:N91"/>
    <mergeCell ref="A92:N92"/>
    <mergeCell ref="A93:N93"/>
    <mergeCell ref="A90:N90"/>
    <mergeCell ref="A88:N88"/>
    <mergeCell ref="A89:N89"/>
    <mergeCell ref="A82:N82"/>
    <mergeCell ref="A83:N83"/>
    <mergeCell ref="A84:N84"/>
    <mergeCell ref="A85:N85"/>
    <mergeCell ref="A86:N86"/>
    <mergeCell ref="A87:N87"/>
    <mergeCell ref="A102:N102"/>
    <mergeCell ref="A103:N103"/>
    <mergeCell ref="A99:N99"/>
    <mergeCell ref="A100:N100"/>
    <mergeCell ref="A101:N101"/>
    <mergeCell ref="A97:N97"/>
    <mergeCell ref="A98:N98"/>
    <mergeCell ref="A94:N94"/>
    <mergeCell ref="A95:N95"/>
    <mergeCell ref="A96:N96"/>
    <mergeCell ref="A111:N111"/>
    <mergeCell ref="A113:N113"/>
    <mergeCell ref="A108:N108"/>
    <mergeCell ref="A109:N109"/>
    <mergeCell ref="A110:N110"/>
    <mergeCell ref="A104:N104"/>
    <mergeCell ref="A105:N105"/>
    <mergeCell ref="A106:N106"/>
    <mergeCell ref="A107:N107"/>
    <mergeCell ref="A120:N120"/>
    <mergeCell ref="A121:N121"/>
    <mergeCell ref="A122:N122"/>
    <mergeCell ref="A117:N117"/>
    <mergeCell ref="A118:N118"/>
    <mergeCell ref="A119:N119"/>
    <mergeCell ref="A114:N114"/>
    <mergeCell ref="A115:N115"/>
    <mergeCell ref="A116:N116"/>
    <mergeCell ref="A132:N132"/>
    <mergeCell ref="A133:N133"/>
    <mergeCell ref="A134:N134"/>
    <mergeCell ref="A128:N128"/>
    <mergeCell ref="A123:N123"/>
    <mergeCell ref="A124:N124"/>
    <mergeCell ref="A125:N125"/>
    <mergeCell ref="A126:N126"/>
    <mergeCell ref="A127:N127"/>
    <mergeCell ref="A129:N129"/>
    <mergeCell ref="A130:N130"/>
    <mergeCell ref="A131:N131"/>
    <mergeCell ref="A135:N135"/>
    <mergeCell ref="A136:N136"/>
    <mergeCell ref="A137:N137"/>
    <mergeCell ref="A138:N138"/>
    <mergeCell ref="A139:N139"/>
    <mergeCell ref="A140:N140"/>
    <mergeCell ref="A141:N141"/>
    <mergeCell ref="A142:N142"/>
    <mergeCell ref="A143:N143"/>
    <mergeCell ref="A144:N144"/>
    <mergeCell ref="A145:N145"/>
    <mergeCell ref="A146:N146"/>
    <mergeCell ref="A147:N147"/>
    <mergeCell ref="A148:N148"/>
    <mergeCell ref="A151:N151"/>
    <mergeCell ref="A152:N152"/>
    <mergeCell ref="A153:N153"/>
    <mergeCell ref="A154:N154"/>
    <mergeCell ref="A155:N155"/>
    <mergeCell ref="A156:N156"/>
    <mergeCell ref="A157:N157"/>
    <mergeCell ref="A158:N158"/>
    <mergeCell ref="A159:N159"/>
    <mergeCell ref="A160:N160"/>
    <mergeCell ref="A161:N161"/>
    <mergeCell ref="A162:N162"/>
    <mergeCell ref="A163:N163"/>
    <mergeCell ref="A165:N165"/>
    <mergeCell ref="A166:N166"/>
    <mergeCell ref="A167:N167"/>
    <mergeCell ref="A168:N168"/>
    <mergeCell ref="A169:N169"/>
    <mergeCell ref="A170:N170"/>
    <mergeCell ref="A171:N171"/>
    <mergeCell ref="A172:N172"/>
    <mergeCell ref="A173:N173"/>
    <mergeCell ref="A174:N174"/>
    <mergeCell ref="A175:N175"/>
    <mergeCell ref="A176:N176"/>
    <mergeCell ref="A177:N177"/>
    <mergeCell ref="A178:N178"/>
    <mergeCell ref="A179:N179"/>
    <mergeCell ref="A180:N180"/>
    <mergeCell ref="A181:N181"/>
    <mergeCell ref="A182:N182"/>
    <mergeCell ref="A183:N183"/>
    <mergeCell ref="A184:N184"/>
    <mergeCell ref="A185:N185"/>
    <mergeCell ref="A186:N186"/>
    <mergeCell ref="A187:N187"/>
    <mergeCell ref="A188:N188"/>
    <mergeCell ref="A189:N189"/>
    <mergeCell ref="A190:N190"/>
    <mergeCell ref="A191:N191"/>
    <mergeCell ref="A192:N192"/>
    <mergeCell ref="A193:N193"/>
    <mergeCell ref="A194:N194"/>
    <mergeCell ref="A195:N195"/>
    <mergeCell ref="A196:N196"/>
    <mergeCell ref="A197:N197"/>
    <mergeCell ref="A198:N198"/>
    <mergeCell ref="A199:N199"/>
    <mergeCell ref="A200:N200"/>
    <mergeCell ref="A201:N201"/>
    <mergeCell ref="A202:N202"/>
    <mergeCell ref="A203:N203"/>
    <mergeCell ref="A204:N204"/>
    <mergeCell ref="A205:N205"/>
    <mergeCell ref="A206:N206"/>
    <mergeCell ref="A207:N207"/>
    <mergeCell ref="A208:N208"/>
    <mergeCell ref="A209:N209"/>
    <mergeCell ref="A210:N210"/>
    <mergeCell ref="A211:N211"/>
    <mergeCell ref="A212:N212"/>
    <mergeCell ref="A213:N213"/>
    <mergeCell ref="A214:N214"/>
    <mergeCell ref="A215:N215"/>
    <mergeCell ref="A216:N216"/>
    <mergeCell ref="A217:N217"/>
    <mergeCell ref="A218:N218"/>
    <mergeCell ref="A219:N219"/>
    <mergeCell ref="A220:N220"/>
    <mergeCell ref="A221:N221"/>
    <mergeCell ref="A222:N222"/>
    <mergeCell ref="A223:N223"/>
    <mergeCell ref="A224:N224"/>
    <mergeCell ref="A225:N225"/>
    <mergeCell ref="A226:N226"/>
    <mergeCell ref="A227:N227"/>
    <mergeCell ref="A228:N228"/>
    <mergeCell ref="A229:N229"/>
    <mergeCell ref="A230:N230"/>
    <mergeCell ref="A231:N231"/>
    <mergeCell ref="A232:N232"/>
    <mergeCell ref="A233:N233"/>
    <mergeCell ref="A234:N234"/>
    <mergeCell ref="A235:N235"/>
    <mergeCell ref="A236:N236"/>
    <mergeCell ref="A237:N237"/>
    <mergeCell ref="A238:N238"/>
    <mergeCell ref="A239:N239"/>
    <mergeCell ref="A240:N240"/>
    <mergeCell ref="A241:N241"/>
    <mergeCell ref="A242:N242"/>
    <mergeCell ref="A243:N243"/>
    <mergeCell ref="A244:N244"/>
    <mergeCell ref="A245:N245"/>
    <mergeCell ref="A246:N246"/>
    <mergeCell ref="A247:N247"/>
    <mergeCell ref="A248:N248"/>
    <mergeCell ref="A271:N271"/>
    <mergeCell ref="A272:N272"/>
    <mergeCell ref="A249:N249"/>
    <mergeCell ref="A250:N250"/>
    <mergeCell ref="A251:N251"/>
    <mergeCell ref="A252:N252"/>
    <mergeCell ref="A253:N253"/>
    <mergeCell ref="A254:N254"/>
    <mergeCell ref="A255:N255"/>
    <mergeCell ref="A256:N256"/>
    <mergeCell ref="A257:N257"/>
    <mergeCell ref="A258:N258"/>
    <mergeCell ref="A259:N259"/>
    <mergeCell ref="A273:N273"/>
    <mergeCell ref="A260:N260"/>
    <mergeCell ref="A261:N261"/>
    <mergeCell ref="A262:N262"/>
    <mergeCell ref="A263:N263"/>
    <mergeCell ref="A264:N264"/>
    <mergeCell ref="A265:N265"/>
    <mergeCell ref="A266:N266"/>
    <mergeCell ref="A267:N267"/>
    <mergeCell ref="A268:N268"/>
    <mergeCell ref="A269:N269"/>
    <mergeCell ref="A270:N270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maksb</cp:lastModifiedBy>
  <dcterms:modified xsi:type="dcterms:W3CDTF">2026-01-03T17:23:00Z</dcterms:modified>
</cp:coreProperties>
</file>