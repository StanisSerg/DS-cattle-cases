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ksb\OneDrive\Desktop\"/>
    </mc:Choice>
  </mc:AlternateContent>
  <bookViews>
    <workbookView xWindow="0" yWindow="0" windowWidth="23040" windowHeight="8784"/>
  </bookViews>
  <sheets>
    <sheet name="Лист_1" sheetId="1" r:id="rId1"/>
  </sheets>
  <calcPr calcId="162913" refMode="R1C1"/>
</workbook>
</file>

<file path=xl/calcChain.xml><?xml version="1.0" encoding="utf-8"?>
<calcChain xmlns="http://schemas.openxmlformats.org/spreadsheetml/2006/main">
  <c r="P104" i="1" l="1"/>
  <c r="O104" i="1"/>
  <c r="S16" i="1" l="1"/>
  <c r="S17" i="1"/>
  <c r="P5" i="1" l="1"/>
  <c r="O5" i="1"/>
  <c r="S7" i="1" l="1"/>
  <c r="S9" i="1" l="1"/>
  <c r="S10" i="1"/>
  <c r="S13" i="1"/>
  <c r="S14" i="1"/>
  <c r="S15" i="1"/>
  <c r="S19" i="1"/>
  <c r="S27" i="1"/>
  <c r="S26" i="1"/>
  <c r="S6" i="1" l="1"/>
  <c r="S28" i="1" s="1"/>
  <c r="S25" i="1"/>
</calcChain>
</file>

<file path=xl/sharedStrings.xml><?xml version="1.0" encoding="utf-8"?>
<sst xmlns="http://schemas.openxmlformats.org/spreadsheetml/2006/main" count="256" uniqueCount="173">
  <si>
    <t>Контрагент</t>
  </si>
  <si>
    <t>Количество</t>
  </si>
  <si>
    <t>Сумма реализации</t>
  </si>
  <si>
    <t>Группа</t>
  </si>
  <si>
    <t>Номенклатура</t>
  </si>
  <si>
    <t>Ответственный специалист</t>
  </si>
  <si>
    <t>Отгрузка</t>
  </si>
  <si>
    <t>Договор</t>
  </si>
  <si>
    <t>Итого</t>
  </si>
  <si>
    <t>Авангард СДП</t>
  </si>
  <si>
    <t>ККК-603р       63010815-004 /09/2201</t>
  </si>
  <si>
    <t>ККК-603р       ДРГ 61-150-0291 /02/2801</t>
  </si>
  <si>
    <t>ККК-603р       ДРГ 63-050-0521 /04/2101</t>
  </si>
  <si>
    <t>ККК-604р       ДРГ 02-010-0411 /01/2101</t>
  </si>
  <si>
    <t>ККК-605р       01010154-001 /07/2701</t>
  </si>
  <si>
    <t>Агро-Колядичи ОАО</t>
  </si>
  <si>
    <t>Асид Баф</t>
  </si>
  <si>
    <t>Агро-Фуд РТФ ООО</t>
  </si>
  <si>
    <t>Премикс Д-П60-3 для высокопродуктивных коров       ДРГ 63-020-0075 /06/1401</t>
  </si>
  <si>
    <t>Премикс Д-ПКР-2 для молодняка КРС старше 3-х месяцев       ДРГ 02-050-037 /05/1401</t>
  </si>
  <si>
    <t>АгроЛюкс ООО</t>
  </si>
  <si>
    <t>ККК-603р       ДРГ 63-020-1654 /02/1401</t>
  </si>
  <si>
    <t>ККК-603р       ДРГ 63-160-017 /02/1612</t>
  </si>
  <si>
    <t>ККК-604р       ДРГ 02-050-0325 /01/1401</t>
  </si>
  <si>
    <t>АгроПавлово СХУП</t>
  </si>
  <si>
    <t>ККК-603р       63070026-001 /05/2101</t>
  </si>
  <si>
    <t>ККК-603р       ДРГ 61-100-0597 /01/0801</t>
  </si>
  <si>
    <t>ККК-603р       ДРГ 63-020--177 /02/1701</t>
  </si>
  <si>
    <t>Александрийское ОАО</t>
  </si>
  <si>
    <t>Клостат НС SP сухой</t>
  </si>
  <si>
    <t>Арендалэнд ООО</t>
  </si>
  <si>
    <t>Оптима 100</t>
  </si>
  <si>
    <t>Алкерфид Антитокс</t>
  </si>
  <si>
    <t>СафМаннан</t>
  </si>
  <si>
    <t>Сафволл</t>
  </si>
  <si>
    <t>Актисаф SC 47 STD</t>
  </si>
  <si>
    <t>ХолиДЖЕМ</t>
  </si>
  <si>
    <t>Лизиджем сухой</t>
  </si>
  <si>
    <t>Кессент Me</t>
  </si>
  <si>
    <t>НутриКАБ</t>
  </si>
  <si>
    <t>БелИнтерГен-агро ООО</t>
  </si>
  <si>
    <t>Комбикорм-концентрат для телят в возрасте до 3 месяцев стартерный " Кальвостарт"       01100088-001 /03/3012</t>
  </si>
  <si>
    <t>ККК-603р       ДРГ 63-010-8541 /01/2201</t>
  </si>
  <si>
    <t>Беловежский  ОАО</t>
  </si>
  <si>
    <t>ККК-603р       ДРГ 63-040-0133 /03/2001</t>
  </si>
  <si>
    <t>ККК-603р       ДРГ 63-300-006 /01/1601</t>
  </si>
  <si>
    <t>Белпромприбор ЗАО</t>
  </si>
  <si>
    <t>ККК-603р       63030164-001 /08/2701</t>
  </si>
  <si>
    <t>ККК-604р       02030043-002 /09/2501</t>
  </si>
  <si>
    <t>ККК-604р       ДРГ 02-030-0431 /09/1301</t>
  </si>
  <si>
    <t>Березовский ККЗ ОАО</t>
  </si>
  <si>
    <t>ККК-605р       ДРГ 01-025-0152 /08/1301</t>
  </si>
  <si>
    <t>БНБК ЗАО</t>
  </si>
  <si>
    <t>Видомлянское ОАО</t>
  </si>
  <si>
    <t>ККК-603р       ДРГ 63-010-8151 /02/1501</t>
  </si>
  <si>
    <t>Винец ОАО</t>
  </si>
  <si>
    <t>Восходящая заря СПК</t>
  </si>
  <si>
    <t>Гарантагровест ООО</t>
  </si>
  <si>
    <t>ККК-603р       ДРГ 63-020-1743 /02/1201</t>
  </si>
  <si>
    <t>ККК-605р       ДРГ 01-050-0232 /01/1301</t>
  </si>
  <si>
    <t>Концентрат кормовой балансирующий "Оптифид баланс"       ДРГ 61-050-1061 /01/2312</t>
  </si>
  <si>
    <t>Гольшаны КСУП</t>
  </si>
  <si>
    <t>ККК-603р       61100080-001 /05/2701</t>
  </si>
  <si>
    <t>ККК-603р       63010815-003 /10/2201</t>
  </si>
  <si>
    <t>ККК-603р       ДРГ 61-150-0271 /02/2301</t>
  </si>
  <si>
    <t>ККК-603р       ДРГ 63-050-0311 /03/2301</t>
  </si>
  <si>
    <t>ККК-604р       ДРГ 02-010-0527 /03/1701</t>
  </si>
  <si>
    <t>ККК-605г       01500137-001 /03/2012</t>
  </si>
  <si>
    <t>Городилово ОАО</t>
  </si>
  <si>
    <t>ККК-603р       61150028-001 /03/2001</t>
  </si>
  <si>
    <t>ККК-603р       ДРГ 63-010-8409 /05/1301</t>
  </si>
  <si>
    <t>ККК-604р       ДРГ 02-010-052 /04/1301</t>
  </si>
  <si>
    <t>Грушево-МИЛК Сельскохозяйственное унитарное предприятие</t>
  </si>
  <si>
    <t>Комбикорм-концентрат для телят в возрасте до 3 месяцев стартерный " Кальвостарт"       01100087-001 /04/2012</t>
  </si>
  <si>
    <t>Гудевичи ЗАО</t>
  </si>
  <si>
    <t>ККК-603р       63010815-004 /08/2501</t>
  </si>
  <si>
    <t>ККК-603р       ДРГ 63-020-177 /06/1301</t>
  </si>
  <si>
    <t>ККК-604р       ДРГ 02-010-052 /07/1301</t>
  </si>
  <si>
    <t>Диталан ОДО</t>
  </si>
  <si>
    <t>Токсфин сухой</t>
  </si>
  <si>
    <t>Дрогичин Агро ФХ</t>
  </si>
  <si>
    <t>Западный СГЦ ОАО</t>
  </si>
  <si>
    <t>ККК-603р       ДРГ 63-020-1322 /01/1201</t>
  </si>
  <si>
    <t>ККК-603р       63010818-001 /04/2001</t>
  </si>
  <si>
    <t>ККК-603р       63010857-001 /09/1801</t>
  </si>
  <si>
    <t>ККК-603р       63015004-001 /06/2001</t>
  </si>
  <si>
    <t>ККК-603р       63020182-001 /01/2901</t>
  </si>
  <si>
    <t>ККК-603р       63025155-001 /05/2901</t>
  </si>
  <si>
    <t>ККК-603р       63030184-001 /06/2801</t>
  </si>
  <si>
    <t>ККК-603р       63050043-001 /06/2901</t>
  </si>
  <si>
    <t>ККК-604р       02010053-001 /02/2901</t>
  </si>
  <si>
    <t>ККК-604р       02030044-001 /06/2701</t>
  </si>
  <si>
    <t>КормВетАгро ООО</t>
  </si>
  <si>
    <t>ККК-603р       ДРГ 63-300-0061 /02/1601</t>
  </si>
  <si>
    <t>Концентрат кормовой балансирующий "Оптифид баланс"       ДРГ 61-050-1061 /02/0501</t>
  </si>
  <si>
    <t>Кормикс ЧП</t>
  </si>
  <si>
    <t>ККК-603р       ДРГ 63-020-1801 /10/1811</t>
  </si>
  <si>
    <t>Концентрат кормовой балансирующий "Оптифид баланс"       ДРГ 61-100-151 /02/1212</t>
  </si>
  <si>
    <t>Краснодворцы ОАО</t>
  </si>
  <si>
    <t>ККК-605г       01500137-002 /13/2111</t>
  </si>
  <si>
    <t>Красный пищевик-АгроСервис ОАО  Пищевик-Агро Филиал</t>
  </si>
  <si>
    <t>ККК-603р       ДРГ 63-020-1752 /04/1501</t>
  </si>
  <si>
    <t>ККК-604р       ДРГ 02-010-051 /05/1501</t>
  </si>
  <si>
    <t>Концентрат кормовой балансирующий "Оптифид баланс"       ДРГ 61-100-1510 /03/1501</t>
  </si>
  <si>
    <t>КФХ Паца А.П.</t>
  </si>
  <si>
    <t>Лань-Несвиж ОАО</t>
  </si>
  <si>
    <t>Максимовичи-Агро ОАО</t>
  </si>
  <si>
    <t>Межлесское Унитарное предприятие (бывш. Межлесье ф-л Новицких ФХ )</t>
  </si>
  <si>
    <t>МилкАгро УП</t>
  </si>
  <si>
    <t>Несвижские Островки ОАО</t>
  </si>
  <si>
    <t>Новая жизнь ОАО</t>
  </si>
  <si>
    <t>ККК-603р       ДРГ 63-010-8622 /04/1701</t>
  </si>
  <si>
    <t>НОУ-ТИЛЛ Органик ООО</t>
  </si>
  <si>
    <t>Озеры СПК Гродненская обл.</t>
  </si>
  <si>
    <t>Олекшицы РСУП</t>
  </si>
  <si>
    <t>Ополь-Агро ОАО</t>
  </si>
  <si>
    <t>Осовецкий СПК</t>
  </si>
  <si>
    <t>ККК-603р       ДРГ 63-010-310 /02/2201</t>
  </si>
  <si>
    <t>ККК-604р       ДРГ 02-010-300 /03/2201</t>
  </si>
  <si>
    <t>Отечество-Агро ОАО</t>
  </si>
  <si>
    <t>Охово ОАО</t>
  </si>
  <si>
    <t>ПК им. Кремко</t>
  </si>
  <si>
    <t>ККК-603р       ДРГ 63-050-0461 /11/2901</t>
  </si>
  <si>
    <t>ККК-603р       ДРГ 63-070-0301 /12/2901</t>
  </si>
  <si>
    <t>Подстаринь ОАО</t>
  </si>
  <si>
    <t>Полесье-Агроинвест СУП</t>
  </si>
  <si>
    <t>ККК-604р       ДРГ 02-010-0411 /11/2301</t>
  </si>
  <si>
    <t>Припять-2009 Государственное предприятие</t>
  </si>
  <si>
    <t>Радонежское ОАО</t>
  </si>
  <si>
    <t>Концентрат кормовой балансирующий "Оптифид баланс"       ДРГ 61-100-151 /01/1501</t>
  </si>
  <si>
    <t>Рогознянский ОАО Жабинковский</t>
  </si>
  <si>
    <t>ККК-604р       ДРГ 02-010-051 /03/1401</t>
  </si>
  <si>
    <t>Савушкин - Луч СУП</t>
  </si>
  <si>
    <t>ККК-603р       ДРГ 63-040-0127 /06/1601</t>
  </si>
  <si>
    <t>ККК-603р       ДРГ 63-050-0427 /05/1601</t>
  </si>
  <si>
    <t>ККК-603р       ДРГ 63-050-048 /01/2601</t>
  </si>
  <si>
    <t>ККК-603р       ДРГ 63-160-018 /04/1601</t>
  </si>
  <si>
    <t>Свитязянка-2003 СПК</t>
  </si>
  <si>
    <t>Снов Агрокомбинат СПК</t>
  </si>
  <si>
    <t>Совхоз Доброволец  УКСХП</t>
  </si>
  <si>
    <t>ККК-603р       ДРГ 61-150-029 /01/2801</t>
  </si>
  <si>
    <t>Совхоз-комбинат Заря ГП</t>
  </si>
  <si>
    <t>Спорово ОАО</t>
  </si>
  <si>
    <t>Телеханы-агро ОАО</t>
  </si>
  <si>
    <t>Тышковичи-Агро ОАО</t>
  </si>
  <si>
    <t>Федорский СПК</t>
  </si>
  <si>
    <t>ЭффектИнвест ОАО</t>
  </si>
  <si>
    <t>ККК-603р       ДРГ 63-010-7943 /05/1701</t>
  </si>
  <si>
    <t>ККК-603р       ДРГ 63-070-033 /01/1701</t>
  </si>
  <si>
    <t>Концентрат кормовой балансирующий "Оптифид баланс"       ДРГ 61-100-151 /01/2612</t>
  </si>
  <si>
    <t>Концентрат кормовой энергетический "Аминолак"       ДРГ 61-100-071 /06/2701</t>
  </si>
  <si>
    <t>Дрогичин</t>
  </si>
  <si>
    <t>ККК</t>
  </si>
  <si>
    <t>Премиксы</t>
  </si>
  <si>
    <t>Оптифид 10%</t>
  </si>
  <si>
    <t>Оптифид 5%</t>
  </si>
  <si>
    <t>Аминолак</t>
  </si>
  <si>
    <t xml:space="preserve">Здоровая печень </t>
  </si>
  <si>
    <t>Консулагро</t>
  </si>
  <si>
    <t>605г</t>
  </si>
  <si>
    <t>Кальвостарт</t>
  </si>
  <si>
    <t>Концентрат кормовой профилактический "Здоровая печень" 63-025-0272</t>
  </si>
  <si>
    <t>АГРОВЕТГАРАНТ</t>
  </si>
  <si>
    <t>Доманово СПУ УП "Брестоблгаз"</t>
  </si>
  <si>
    <t>Агро-сад Рассвет</t>
  </si>
  <si>
    <t>Филиал Будча ОАО "Барановичхлебопродукт"</t>
  </si>
  <si>
    <t>АФТАБ</t>
  </si>
  <si>
    <t>СПК им. Деньщикова</t>
  </si>
  <si>
    <t>Агро-Пелище</t>
  </si>
  <si>
    <t xml:space="preserve">Агронеманский </t>
  </si>
  <si>
    <t xml:space="preserve">Агро-сад Рассвет </t>
  </si>
  <si>
    <t xml:space="preserve">Филиал СельхозАгроСервис Барановичский райагросервис </t>
  </si>
  <si>
    <t>Демброво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</si>
</sst>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8"/>
      <name val="Arial"/>
    </font>
    <font>
      <sz val="8"/>
      <color theme="1"/>
      <name val="Arial"/>
      <family val="2"/>
      <charset val="204"/>
    </font>
    <font>
      <sz val="11"/>
      <color theme="1"/>
      <name val="Calibri"/>
      <family val="2"/>
      <charset val="204"/>
    </font>
    <font>
      <b/>
      <sz val="11"/>
      <color theme="1"/>
      <name val="Calibri"/>
      <family val="2"/>
      <charset val="204"/>
    </font>
    <font>
      <b/>
      <sz val="8"/>
      <color theme="1"/>
      <name val="Arial"/>
      <family val="2"/>
      <charset val="204"/>
    </font>
    <font>
      <sz val="8"/>
      <color rgb="FFFF0000"/>
      <name val="Arial"/>
      <family val="2"/>
      <charset val="204"/>
    </font>
    <font>
      <sz val="8"/>
      <name val="Arial"/>
      <family val="2"/>
      <charset val="204"/>
    </font>
    <font>
      <sz val="10"/>
      <color theme="1"/>
      <name val="Arial"/>
      <family val="2"/>
      <charset val="204"/>
    </font>
    <font>
      <sz val="8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rgb="FFE6E6E6"/>
      </left>
      <right style="thin">
        <color rgb="FFE6E6E6"/>
      </right>
      <top style="thin">
        <color rgb="FFE6E6E6"/>
      </top>
      <bottom style="thin">
        <color rgb="FFE6E6E6"/>
      </bottom>
      <diagonal/>
    </border>
    <border>
      <left style="thin">
        <color rgb="FFE6E6E6"/>
      </left>
      <right style="thin">
        <color rgb="FFE6E6E6"/>
      </right>
      <top/>
      <bottom/>
      <diagonal/>
    </border>
    <border>
      <left style="thin">
        <color rgb="FFE6E6E6"/>
      </left>
      <right style="thin">
        <color rgb="FFE6E6E6"/>
      </right>
      <top/>
      <bottom style="thin">
        <color rgb="FFE6E6E6"/>
      </bottom>
      <diagonal/>
    </border>
    <border>
      <left style="thin">
        <color rgb="FFE6E6E6"/>
      </left>
      <right style="thin">
        <color rgb="FFE6E6E6"/>
      </right>
      <top style="thin">
        <color rgb="FFE6E6E6"/>
      </top>
      <bottom/>
      <diagonal/>
    </border>
  </borders>
  <cellStyleXfs count="1">
    <xf numFmtId="0" fontId="0" fillId="0" borderId="0"/>
  </cellStyleXfs>
  <cellXfs count="36">
    <xf numFmtId="0" fontId="0" fillId="0" borderId="0" xfId="0"/>
    <xf numFmtId="3" fontId="2" fillId="0" borderId="0" xfId="0" applyNumberFormat="1" applyFont="1" applyAlignment="1">
      <alignment horizontal="right" vertical="top"/>
    </xf>
    <xf numFmtId="4" fontId="2" fillId="0" borderId="0" xfId="0" applyNumberFormat="1" applyFont="1" applyAlignment="1">
      <alignment horizontal="right" vertical="top"/>
    </xf>
    <xf numFmtId="0" fontId="1" fillId="0" borderId="0" xfId="0" applyFont="1"/>
    <xf numFmtId="3" fontId="3" fillId="3" borderId="1" xfId="0" applyNumberFormat="1" applyFont="1" applyFill="1" applyBorder="1" applyAlignment="1">
      <alignment horizontal="right" vertical="top"/>
    </xf>
    <xf numFmtId="4" fontId="3" fillId="3" borderId="1" xfId="0" applyNumberFormat="1" applyFont="1" applyFill="1" applyBorder="1" applyAlignment="1">
      <alignment horizontal="right" vertical="top"/>
    </xf>
    <xf numFmtId="1" fontId="2" fillId="0" borderId="0" xfId="0" applyNumberFormat="1" applyFont="1" applyAlignment="1">
      <alignment horizontal="right" vertical="top"/>
    </xf>
    <xf numFmtId="1" fontId="3" fillId="3" borderId="1" xfId="0" applyNumberFormat="1" applyFont="1" applyFill="1" applyBorder="1" applyAlignment="1">
      <alignment horizontal="right" vertical="top"/>
    </xf>
    <xf numFmtId="2" fontId="2" fillId="0" borderId="0" xfId="0" applyNumberFormat="1" applyFont="1" applyAlignment="1">
      <alignment horizontal="right" vertical="top"/>
    </xf>
    <xf numFmtId="2" fontId="3" fillId="3" borderId="1" xfId="0" applyNumberFormat="1" applyFont="1" applyFill="1" applyBorder="1" applyAlignment="1">
      <alignment horizontal="right" vertical="top"/>
    </xf>
    <xf numFmtId="3" fontId="1" fillId="0" borderId="0" xfId="0" applyNumberFormat="1" applyFont="1"/>
    <xf numFmtId="0" fontId="4" fillId="0" borderId="0" xfId="0" applyFont="1"/>
    <xf numFmtId="3" fontId="4" fillId="0" borderId="0" xfId="0" applyNumberFormat="1" applyFont="1"/>
    <xf numFmtId="0" fontId="5" fillId="0" borderId="0" xfId="0" applyFont="1"/>
    <xf numFmtId="1" fontId="1" fillId="0" borderId="0" xfId="0" applyNumberFormat="1" applyFont="1"/>
    <xf numFmtId="0" fontId="6" fillId="0" borderId="0" xfId="0" applyFont="1"/>
    <xf numFmtId="0" fontId="1" fillId="0" borderId="0" xfId="0" applyFont="1" applyFill="1"/>
    <xf numFmtId="4" fontId="2" fillId="0" borderId="0" xfId="0" applyNumberFormat="1" applyFont="1" applyFill="1" applyAlignment="1">
      <alignment horizontal="right" vertical="top"/>
    </xf>
    <xf numFmtId="1" fontId="2" fillId="0" borderId="0" xfId="0" applyNumberFormat="1" applyFont="1" applyFill="1" applyAlignment="1">
      <alignment horizontal="right" vertical="top"/>
    </xf>
    <xf numFmtId="0" fontId="7" fillId="0" borderId="0" xfId="0" applyFont="1"/>
    <xf numFmtId="3" fontId="3" fillId="2" borderId="1" xfId="0" applyNumberFormat="1" applyFont="1" applyFill="1" applyBorder="1" applyAlignment="1">
      <alignment horizontal="right" vertical="top"/>
    </xf>
    <xf numFmtId="4" fontId="3" fillId="2" borderId="1" xfId="0" applyNumberFormat="1" applyFont="1" applyFill="1" applyBorder="1" applyAlignment="1">
      <alignment horizontal="right" vertical="top"/>
    </xf>
    <xf numFmtId="0" fontId="7" fillId="0" borderId="1" xfId="0" applyFont="1" applyBorder="1" applyAlignment="1">
      <alignment horizontal="left" vertical="top" wrapText="1"/>
    </xf>
    <xf numFmtId="0" fontId="8" fillId="0" borderId="0" xfId="0" applyFont="1" applyAlignment="1">
      <alignment horizontal="left"/>
    </xf>
    <xf numFmtId="0" fontId="7" fillId="0" borderId="4" xfId="0" applyFont="1" applyBorder="1" applyAlignment="1">
      <alignment horizontal="left" vertical="top" wrapText="1"/>
    </xf>
    <xf numFmtId="0" fontId="7" fillId="0" borderId="2" xfId="0" applyFont="1" applyBorder="1" applyAlignment="1">
      <alignment horizontal="left" vertical="top" wrapText="1"/>
    </xf>
    <xf numFmtId="0" fontId="7" fillId="0" borderId="3" xfId="0" applyFont="1" applyBorder="1" applyAlignment="1">
      <alignment horizontal="left" vertical="top" wrapText="1"/>
    </xf>
    <xf numFmtId="0" fontId="7" fillId="0" borderId="1" xfId="0" applyFont="1" applyBorder="1" applyAlignment="1">
      <alignment horizontal="left" vertical="top" wrapText="1"/>
    </xf>
    <xf numFmtId="0" fontId="7" fillId="0" borderId="1" xfId="0" applyFont="1" applyBorder="1" applyAlignment="1">
      <alignment horizontal="justify" vertical="top" wrapText="1"/>
    </xf>
    <xf numFmtId="0" fontId="7" fillId="2" borderId="1" xfId="0" applyFont="1" applyFill="1" applyBorder="1" applyAlignment="1">
      <alignment horizontal="left" vertical="top"/>
    </xf>
    <xf numFmtId="0" fontId="3" fillId="3" borderId="1" xfId="0" applyFont="1" applyFill="1" applyBorder="1" applyAlignment="1">
      <alignment horizontal="left" vertical="top" wrapText="1"/>
    </xf>
    <xf numFmtId="0" fontId="2" fillId="0" borderId="0" xfId="0" applyFont="1" applyAlignment="1">
      <alignment horizontal="left" vertical="top" wrapText="1" indent="10"/>
    </xf>
    <xf numFmtId="0" fontId="2" fillId="0" borderId="0" xfId="0" applyFont="1" applyAlignment="1">
      <alignment horizontal="left" vertical="top" wrapText="1" indent="8"/>
    </xf>
    <xf numFmtId="0" fontId="2" fillId="0" borderId="0" xfId="0" applyFont="1" applyAlignment="1">
      <alignment horizontal="left" vertical="top" wrapText="1" indent="12"/>
    </xf>
    <xf numFmtId="0" fontId="2" fillId="0" borderId="0" xfId="0" applyFont="1" applyFill="1" applyAlignment="1">
      <alignment horizontal="left" vertical="top" wrapText="1" indent="8"/>
    </xf>
    <xf numFmtId="0" fontId="2" fillId="0" borderId="0" xfId="0" applyFont="1" applyAlignment="1">
      <alignment horizontal="center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autoPageBreaks="0" fitToPage="1"/>
  </sheetPr>
  <dimension ref="A1:S225"/>
  <sheetViews>
    <sheetView tabSelected="1" zoomScaleNormal="100" workbookViewId="0">
      <selection activeCell="O233" sqref="O233"/>
    </sheetView>
  </sheetViews>
  <sheetFormatPr defaultColWidth="10.42578125" defaultRowHeight="11.4" customHeight="1" outlineLevelRow="6" x14ac:dyDescent="0.2"/>
  <cols>
    <col min="1" max="1" width="5.7109375" style="23" customWidth="1"/>
    <col min="2" max="2" width="3.28515625" style="23" customWidth="1"/>
    <col min="3" max="3" width="1.42578125" style="23" customWidth="1"/>
    <col min="4" max="4" width="13.85546875" style="23" customWidth="1"/>
    <col min="5" max="5" width="16.85546875" style="23" customWidth="1"/>
    <col min="6" max="6" width="1.85546875" style="23" customWidth="1"/>
    <col min="7" max="7" width="18.7109375" style="23" customWidth="1"/>
    <col min="8" max="8" width="8.7109375" style="23" customWidth="1"/>
    <col min="9" max="9" width="8.85546875" style="23" customWidth="1"/>
    <col min="10" max="10" width="1.28515625" style="23" customWidth="1"/>
    <col min="11" max="11" width="37.85546875" style="23" customWidth="1"/>
    <col min="12" max="12" width="14" style="23" customWidth="1"/>
    <col min="13" max="13" width="3.85546875" style="23" customWidth="1"/>
    <col min="14" max="14" width="2.28515625" style="23" customWidth="1"/>
    <col min="15" max="15" width="14.140625" style="23" customWidth="1"/>
    <col min="16" max="16" width="14.85546875" style="23" customWidth="1"/>
    <col min="18" max="18" width="19.7109375" bestFit="1" customWidth="1"/>
    <col min="20" max="20" width="12.85546875" customWidth="1"/>
  </cols>
  <sheetData>
    <row r="1" spans="1:19" ht="12.9" customHeight="1" x14ac:dyDescent="0.2">
      <c r="A1" s="27" t="s">
        <v>0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4" t="s">
        <v>1</v>
      </c>
      <c r="P1" s="24" t="s">
        <v>2</v>
      </c>
    </row>
    <row r="2" spans="1:19" ht="12.9" customHeight="1" x14ac:dyDescent="0.2">
      <c r="A2" s="27" t="s">
        <v>3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5"/>
      <c r="P2" s="25"/>
    </row>
    <row r="3" spans="1:19" ht="12.9" customHeight="1" x14ac:dyDescent="0.2">
      <c r="A3" s="27" t="s">
        <v>4</v>
      </c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5"/>
      <c r="P3" s="25"/>
    </row>
    <row r="4" spans="1:19" ht="13.2" x14ac:dyDescent="0.2">
      <c r="A4" s="27" t="s">
        <v>5</v>
      </c>
      <c r="B4" s="27"/>
      <c r="C4" s="27"/>
      <c r="D4" s="27"/>
      <c r="E4" s="27"/>
      <c r="F4" s="28" t="s">
        <v>6</v>
      </c>
      <c r="G4" s="28"/>
      <c r="H4" s="28"/>
      <c r="I4" s="27" t="s">
        <v>7</v>
      </c>
      <c r="J4" s="27"/>
      <c r="K4" s="27"/>
      <c r="L4" s="22"/>
      <c r="M4" s="22"/>
      <c r="N4" s="22"/>
      <c r="O4" s="26"/>
      <c r="P4" s="26"/>
    </row>
    <row r="5" spans="1:19" ht="15" customHeight="1" x14ac:dyDescent="0.2">
      <c r="A5" s="29" t="s">
        <v>8</v>
      </c>
      <c r="B5" s="29"/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0">
        <f>SUM(O6,O12,O14,O17,O21,O25,O27,O38,O41,O47,O52,O54,O57,O59,O61,O64,O68,O76,O80,O82,O86,O88,O91,O104,O93,O122,O126,O133,O135,O137,O139,O141,O143,O146,O151,O153,O156,O158,O160,O163,O166,O168,O175,O177,O180,O182,O184,O187,O194,O196,O198,O204,O207,O210,O212,O214,O216)</f>
        <v>504822</v>
      </c>
      <c r="P5" s="21">
        <f>SUM(P6,P12,P14,P17,P21,P25,P27,P38,P41,P47,P52,P54,P57,P59,P61,P64,P68,P76,P80,P82,P86,P88,P91,P93,P104,P122,P126,P133,P135,P137,P139,P141,P143,P146,P151,P153,P156,P158,P160,P163,P166,P168,P175,P177,P180,P182,P184,P187,P194,P196,P198,P204,P207,P210,P212,P214,P216)</f>
        <v>2605339.5300000003</v>
      </c>
    </row>
    <row r="6" spans="1:19" s="3" customFormat="1" ht="15" customHeight="1" x14ac:dyDescent="0.2">
      <c r="A6" s="30" t="s">
        <v>9</v>
      </c>
      <c r="B6" s="30"/>
      <c r="C6" s="30"/>
      <c r="D6" s="30"/>
      <c r="E6" s="30"/>
      <c r="F6" s="30"/>
      <c r="G6" s="30"/>
      <c r="H6" s="30"/>
      <c r="I6" s="30"/>
      <c r="J6" s="30"/>
      <c r="K6" s="30"/>
      <c r="L6" s="30"/>
      <c r="M6" s="30"/>
      <c r="N6" s="30"/>
      <c r="O6" s="4">
        <v>25000</v>
      </c>
      <c r="P6" s="5">
        <v>93090</v>
      </c>
      <c r="R6" s="11" t="s">
        <v>151</v>
      </c>
      <c r="S6" s="12">
        <f>SUM(S7:S12)</f>
        <v>335125</v>
      </c>
    </row>
    <row r="7" spans="1:19" s="3" customFormat="1" ht="15" customHeight="1" outlineLevel="5" x14ac:dyDescent="0.2">
      <c r="A7" s="31" t="s">
        <v>10</v>
      </c>
      <c r="B7" s="31"/>
      <c r="C7" s="31"/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1">
        <v>10000</v>
      </c>
      <c r="P7" s="2">
        <v>25700</v>
      </c>
      <c r="R7" s="3" t="s">
        <v>152</v>
      </c>
      <c r="S7" s="10">
        <f>SUM(O6,O17,O21,O40,O42,O43,O48,O49,O50,O53,O58,O65,O66,O69,O70,O71,O72,O73,O76,O82,O88,O92,O94,O105,O123,O127,O128,O129,O130,O143,O147,O148,O160,O169,O170,O171,O172,O178,O185,O188,O189,O190,O191,O197,O199,O200,O201,O204,O217,O218,O219,O220)</f>
        <v>216100</v>
      </c>
    </row>
    <row r="8" spans="1:19" s="3" customFormat="1" ht="15" customHeight="1" outlineLevel="5" x14ac:dyDescent="0.2">
      <c r="A8" s="31" t="s">
        <v>11</v>
      </c>
      <c r="B8" s="31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1">
        <v>5000</v>
      </c>
      <c r="P8" s="2">
        <v>34750</v>
      </c>
      <c r="R8" s="3" t="s">
        <v>153</v>
      </c>
      <c r="S8" s="10">
        <v>20000</v>
      </c>
    </row>
    <row r="9" spans="1:19" s="3" customFormat="1" ht="15" customHeight="1" outlineLevel="5" x14ac:dyDescent="0.2">
      <c r="A9" s="31" t="s">
        <v>12</v>
      </c>
      <c r="B9" s="31"/>
      <c r="C9" s="31"/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1">
        <v>6000</v>
      </c>
      <c r="P9" s="2">
        <v>21000</v>
      </c>
      <c r="R9" s="3" t="s">
        <v>154</v>
      </c>
      <c r="S9" s="10">
        <f>SUM(O108,O132,O183,O221,O222)</f>
        <v>62000</v>
      </c>
    </row>
    <row r="10" spans="1:19" s="3" customFormat="1" ht="15" customHeight="1" outlineLevel="5" x14ac:dyDescent="0.2">
      <c r="A10" s="31" t="s">
        <v>13</v>
      </c>
      <c r="B10" s="31"/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1">
        <v>3000</v>
      </c>
      <c r="P10" s="2">
        <v>5250</v>
      </c>
      <c r="R10" s="3" t="s">
        <v>155</v>
      </c>
      <c r="S10" s="10">
        <f>SUM(O67,O95,O96,O107,O203)</f>
        <v>35525</v>
      </c>
    </row>
    <row r="11" spans="1:19" s="3" customFormat="1" ht="15" customHeight="1" outlineLevel="5" x14ac:dyDescent="0.2">
      <c r="A11" s="31" t="s">
        <v>14</v>
      </c>
      <c r="B11" s="31"/>
      <c r="C11" s="31"/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1">
        <v>1000</v>
      </c>
      <c r="P11" s="2">
        <v>6390</v>
      </c>
      <c r="R11" s="3" t="s">
        <v>156</v>
      </c>
      <c r="S11" s="10">
        <v>1000</v>
      </c>
    </row>
    <row r="12" spans="1:19" s="3" customFormat="1" ht="15" customHeight="1" x14ac:dyDescent="0.2">
      <c r="A12" s="30" t="s">
        <v>15</v>
      </c>
      <c r="B12" s="30"/>
      <c r="C12" s="30"/>
      <c r="D12" s="30"/>
      <c r="E12" s="30"/>
      <c r="F12" s="30"/>
      <c r="G12" s="30"/>
      <c r="H12" s="30"/>
      <c r="I12" s="30"/>
      <c r="J12" s="30"/>
      <c r="K12" s="30"/>
      <c r="L12" s="30"/>
      <c r="M12" s="30"/>
      <c r="N12" s="30"/>
      <c r="O12" s="4">
        <v>9600</v>
      </c>
      <c r="P12" s="5">
        <v>35520</v>
      </c>
      <c r="R12" s="15" t="s">
        <v>157</v>
      </c>
      <c r="S12" s="10">
        <v>500</v>
      </c>
    </row>
    <row r="13" spans="1:19" s="3" customFormat="1" ht="15" customHeight="1" outlineLevel="5" x14ac:dyDescent="0.2">
      <c r="A13" s="31" t="s">
        <v>16</v>
      </c>
      <c r="B13" s="31"/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1">
        <v>9600</v>
      </c>
      <c r="P13" s="2">
        <v>35520</v>
      </c>
      <c r="R13" s="3" t="s">
        <v>31</v>
      </c>
      <c r="S13" s="10">
        <f>SUM(O28,O51,O62,O97,O111,O140,O142,O154,O157,O173,O195)</f>
        <v>53350</v>
      </c>
    </row>
    <row r="14" spans="1:19" s="3" customFormat="1" ht="15" customHeight="1" x14ac:dyDescent="0.2">
      <c r="A14" s="30" t="s">
        <v>17</v>
      </c>
      <c r="B14" s="30"/>
      <c r="C14" s="30"/>
      <c r="D14" s="30"/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4">
        <v>20000</v>
      </c>
      <c r="P14" s="5">
        <v>67351.58</v>
      </c>
      <c r="R14" s="3" t="s">
        <v>16</v>
      </c>
      <c r="S14" s="10">
        <f>SUM(O13,O36,O45,O56,O75,O102,O164,O167,O209,O211)</f>
        <v>30550</v>
      </c>
    </row>
    <row r="15" spans="1:19" s="3" customFormat="1" ht="15" customHeight="1" outlineLevel="5" x14ac:dyDescent="0.2">
      <c r="A15" s="31" t="s">
        <v>18</v>
      </c>
      <c r="B15" s="31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1">
        <v>18000</v>
      </c>
      <c r="P15" s="2">
        <v>62332.02</v>
      </c>
      <c r="R15" s="3" t="s">
        <v>39</v>
      </c>
      <c r="S15" s="10">
        <f>SUM(R2+O37,O46,O63,O103,O117,O155,O165,O225)</f>
        <v>10100</v>
      </c>
    </row>
    <row r="16" spans="1:19" s="3" customFormat="1" ht="15" customHeight="1" outlineLevel="5" x14ac:dyDescent="0.2">
      <c r="A16" s="31" t="s">
        <v>19</v>
      </c>
      <c r="B16" s="31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1">
        <v>2000</v>
      </c>
      <c r="P16" s="2">
        <v>5019.5600000000004</v>
      </c>
      <c r="R16" s="3" t="s">
        <v>29</v>
      </c>
      <c r="S16" s="14">
        <f>SUM(O26,O60,O101,O136,O179,O186,O208)</f>
        <v>297</v>
      </c>
    </row>
    <row r="17" spans="1:19" s="3" customFormat="1" ht="15" customHeight="1" x14ac:dyDescent="0.2">
      <c r="A17" s="30" t="s">
        <v>20</v>
      </c>
      <c r="B17" s="30"/>
      <c r="C17" s="30"/>
      <c r="D17" s="30"/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4">
        <v>19000</v>
      </c>
      <c r="P17" s="5">
        <v>46559.16</v>
      </c>
      <c r="R17" s="3" t="s">
        <v>79</v>
      </c>
      <c r="S17" s="10">
        <f>SUM(O87,O134)</f>
        <v>1025</v>
      </c>
    </row>
    <row r="18" spans="1:19" s="3" customFormat="1" ht="15" customHeight="1" outlineLevel="5" x14ac:dyDescent="0.2">
      <c r="A18" s="31" t="s">
        <v>21</v>
      </c>
      <c r="B18" s="31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1">
        <v>12000</v>
      </c>
      <c r="P18" s="2">
        <v>26488.799999999999</v>
      </c>
      <c r="R18" s="3" t="s">
        <v>35</v>
      </c>
      <c r="S18" s="3">
        <v>225</v>
      </c>
    </row>
    <row r="19" spans="1:19" s="3" customFormat="1" ht="15" customHeight="1" outlineLevel="5" x14ac:dyDescent="0.2">
      <c r="A19" s="31" t="s">
        <v>22</v>
      </c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1">
        <v>2000</v>
      </c>
      <c r="P19" s="2">
        <v>9033.36</v>
      </c>
      <c r="R19" s="3" t="s">
        <v>32</v>
      </c>
      <c r="S19" s="10">
        <f>SUM(O29,O44,O55,O98,O116,O150,O159,O174,O176,O181,O192,O224)</f>
        <v>18900</v>
      </c>
    </row>
    <row r="20" spans="1:19" s="3" customFormat="1" ht="15" customHeight="1" outlineLevel="5" x14ac:dyDescent="0.2">
      <c r="A20" s="31" t="s">
        <v>23</v>
      </c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1">
        <v>5000</v>
      </c>
      <c r="P20" s="2">
        <v>11037</v>
      </c>
      <c r="R20" s="3" t="s">
        <v>34</v>
      </c>
      <c r="S20" s="3">
        <v>425</v>
      </c>
    </row>
    <row r="21" spans="1:19" s="3" customFormat="1" ht="15" customHeight="1" x14ac:dyDescent="0.2">
      <c r="A21" s="30" t="s">
        <v>24</v>
      </c>
      <c r="B21" s="30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4">
        <v>2000</v>
      </c>
      <c r="P21" s="5">
        <v>13102.5</v>
      </c>
      <c r="R21" s="3" t="s">
        <v>33</v>
      </c>
      <c r="S21" s="3">
        <v>25</v>
      </c>
    </row>
    <row r="22" spans="1:19" s="3" customFormat="1" ht="15" customHeight="1" outlineLevel="5" x14ac:dyDescent="0.2">
      <c r="A22" s="31" t="s">
        <v>25</v>
      </c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6">
        <v>750</v>
      </c>
      <c r="P22" s="2">
        <v>2625</v>
      </c>
      <c r="R22" s="3" t="s">
        <v>36</v>
      </c>
      <c r="S22" s="3">
        <v>500</v>
      </c>
    </row>
    <row r="23" spans="1:19" s="3" customFormat="1" ht="15" customHeight="1" outlineLevel="5" x14ac:dyDescent="0.2">
      <c r="A23" s="31" t="s">
        <v>26</v>
      </c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6">
        <v>500</v>
      </c>
      <c r="P23" s="2">
        <v>7515</v>
      </c>
      <c r="R23" s="3" t="s">
        <v>37</v>
      </c>
      <c r="S23" s="3">
        <v>825</v>
      </c>
    </row>
    <row r="24" spans="1:19" s="3" customFormat="1" ht="15" customHeight="1" outlineLevel="5" x14ac:dyDescent="0.2">
      <c r="A24" s="31" t="s">
        <v>27</v>
      </c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6">
        <v>750</v>
      </c>
      <c r="P24" s="2">
        <v>2962.5</v>
      </c>
      <c r="R24" s="3" t="s">
        <v>38</v>
      </c>
      <c r="S24" s="3">
        <v>225</v>
      </c>
    </row>
    <row r="25" spans="1:19" s="3" customFormat="1" ht="15" customHeight="1" x14ac:dyDescent="0.2">
      <c r="A25" s="30" t="s">
        <v>28</v>
      </c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30"/>
      <c r="N25" s="30"/>
      <c r="O25" s="7">
        <v>10</v>
      </c>
      <c r="P25" s="5">
        <v>1820.7</v>
      </c>
      <c r="R25" s="11" t="s">
        <v>158</v>
      </c>
      <c r="S25" s="12">
        <f>SUM(S26:S27)</f>
        <v>53250</v>
      </c>
    </row>
    <row r="26" spans="1:19" s="3" customFormat="1" ht="15" customHeight="1" outlineLevel="4" x14ac:dyDescent="0.2">
      <c r="A26" s="32" t="s">
        <v>29</v>
      </c>
      <c r="B26" s="32"/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6">
        <v>10</v>
      </c>
      <c r="P26" s="2">
        <v>1820.7</v>
      </c>
      <c r="R26" s="3" t="s">
        <v>159</v>
      </c>
      <c r="S26" s="10">
        <f>SUM(O74,O106,O124,O125,O131,O138,O202)</f>
        <v>32675</v>
      </c>
    </row>
    <row r="27" spans="1:19" s="3" customFormat="1" ht="14.25" customHeight="1" x14ac:dyDescent="0.2">
      <c r="A27" s="30" t="s">
        <v>30</v>
      </c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4">
        <v>2575</v>
      </c>
      <c r="P27" s="5">
        <v>91738</v>
      </c>
      <c r="R27" s="3" t="s">
        <v>160</v>
      </c>
      <c r="S27" s="10">
        <f>SUM(O39,O81,O152,O213,O215)</f>
        <v>20575</v>
      </c>
    </row>
    <row r="28" spans="1:19" s="3" customFormat="1" ht="15" customHeight="1" outlineLevel="4" x14ac:dyDescent="0.2">
      <c r="A28" s="32" t="s">
        <v>31</v>
      </c>
      <c r="B28" s="32"/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6">
        <v>225</v>
      </c>
      <c r="P28" s="2">
        <v>4500</v>
      </c>
      <c r="R28" s="11" t="s">
        <v>8</v>
      </c>
      <c r="S28" s="12">
        <f>SUM(S25,S6,S13:S24)</f>
        <v>504822</v>
      </c>
    </row>
    <row r="29" spans="1:19" s="3" customFormat="1" ht="15" customHeight="1" outlineLevel="4" x14ac:dyDescent="0.2">
      <c r="A29" s="32" t="s">
        <v>32</v>
      </c>
      <c r="B29" s="32"/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6">
        <v>50</v>
      </c>
      <c r="P29" s="8">
        <v>430</v>
      </c>
      <c r="S29" s="12"/>
    </row>
    <row r="30" spans="1:19" s="3" customFormat="1" ht="15" customHeight="1" outlineLevel="4" x14ac:dyDescent="0.2">
      <c r="A30" s="32" t="s">
        <v>34</v>
      </c>
      <c r="B30" s="32"/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6">
        <v>150</v>
      </c>
      <c r="P30" s="2">
        <v>2277</v>
      </c>
    </row>
    <row r="31" spans="1:19" s="3" customFormat="1" ht="15" customHeight="1" outlineLevel="4" x14ac:dyDescent="0.2">
      <c r="A31" s="32" t="s">
        <v>33</v>
      </c>
      <c r="B31" s="32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6">
        <v>25</v>
      </c>
      <c r="P31" s="8">
        <v>583.5</v>
      </c>
    </row>
    <row r="32" spans="1:19" s="3" customFormat="1" ht="15" customHeight="1" outlineLevel="4" x14ac:dyDescent="0.2">
      <c r="A32" s="32" t="s">
        <v>35</v>
      </c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6">
        <v>125</v>
      </c>
      <c r="P32" s="2">
        <v>4443.75</v>
      </c>
    </row>
    <row r="33" spans="1:16" s="3" customFormat="1" ht="15" customHeight="1" outlineLevel="5" x14ac:dyDescent="0.2">
      <c r="A33" s="32" t="s">
        <v>36</v>
      </c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6">
        <v>500</v>
      </c>
      <c r="P33" s="2">
        <v>22163.75</v>
      </c>
    </row>
    <row r="34" spans="1:16" s="3" customFormat="1" ht="15" customHeight="1" outlineLevel="5" x14ac:dyDescent="0.2">
      <c r="A34" s="32" t="s">
        <v>37</v>
      </c>
      <c r="B34" s="32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6">
        <v>825</v>
      </c>
      <c r="P34" s="2">
        <v>41695.5</v>
      </c>
    </row>
    <row r="35" spans="1:16" s="3" customFormat="1" ht="15" customHeight="1" outlineLevel="5" x14ac:dyDescent="0.2">
      <c r="A35" s="32" t="s">
        <v>38</v>
      </c>
      <c r="B35" s="32"/>
      <c r="C35" s="32"/>
      <c r="D35" s="32"/>
      <c r="E35" s="32"/>
      <c r="F35" s="32"/>
      <c r="G35" s="32"/>
      <c r="H35" s="32"/>
      <c r="I35" s="32"/>
      <c r="J35" s="32"/>
      <c r="K35" s="32"/>
      <c r="L35" s="32"/>
      <c r="M35" s="32"/>
      <c r="N35" s="32"/>
      <c r="O35" s="6">
        <v>225</v>
      </c>
      <c r="P35" s="2">
        <v>11859.75</v>
      </c>
    </row>
    <row r="36" spans="1:16" s="3" customFormat="1" ht="15" customHeight="1" outlineLevel="5" x14ac:dyDescent="0.2">
      <c r="A36" s="32" t="s">
        <v>16</v>
      </c>
      <c r="B36" s="32"/>
      <c r="C36" s="32"/>
      <c r="D36" s="32"/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6">
        <v>225</v>
      </c>
      <c r="P36" s="8">
        <v>835</v>
      </c>
    </row>
    <row r="37" spans="1:16" s="3" customFormat="1" ht="15" customHeight="1" outlineLevel="5" x14ac:dyDescent="0.2">
      <c r="A37" s="32" t="s">
        <v>39</v>
      </c>
      <c r="B37" s="32"/>
      <c r="C37" s="32"/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6">
        <v>225</v>
      </c>
      <c r="P37" s="2">
        <v>2949.75</v>
      </c>
    </row>
    <row r="38" spans="1:16" s="3" customFormat="1" ht="15" customHeight="1" x14ac:dyDescent="0.2">
      <c r="A38" s="30" t="s">
        <v>40</v>
      </c>
      <c r="B38" s="30"/>
      <c r="C38" s="30"/>
      <c r="D38" s="30"/>
      <c r="E38" s="30"/>
      <c r="F38" s="30"/>
      <c r="G38" s="30"/>
      <c r="H38" s="30"/>
      <c r="I38" s="30"/>
      <c r="J38" s="30"/>
      <c r="K38" s="30"/>
      <c r="L38" s="30"/>
      <c r="M38" s="30"/>
      <c r="N38" s="30"/>
      <c r="O38" s="4">
        <v>4000</v>
      </c>
      <c r="P38" s="5">
        <v>10490</v>
      </c>
    </row>
    <row r="39" spans="1:16" s="3" customFormat="1" ht="15.75" customHeight="1" outlineLevel="6" x14ac:dyDescent="0.2">
      <c r="A39" s="33" t="s">
        <v>41</v>
      </c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1">
        <v>3000</v>
      </c>
      <c r="P39" s="2">
        <v>5040</v>
      </c>
    </row>
    <row r="40" spans="1:16" s="3" customFormat="1" ht="15" customHeight="1" outlineLevel="5" x14ac:dyDescent="0.2">
      <c r="A40" s="31" t="s">
        <v>42</v>
      </c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1">
        <v>1000</v>
      </c>
      <c r="P40" s="2">
        <v>5450</v>
      </c>
    </row>
    <row r="41" spans="1:16" s="3" customFormat="1" ht="15" customHeight="1" x14ac:dyDescent="0.2">
      <c r="A41" s="30" t="s">
        <v>43</v>
      </c>
      <c r="B41" s="30"/>
      <c r="C41" s="30"/>
      <c r="D41" s="30"/>
      <c r="E41" s="30"/>
      <c r="F41" s="30"/>
      <c r="G41" s="30"/>
      <c r="H41" s="30"/>
      <c r="I41" s="30"/>
      <c r="J41" s="30"/>
      <c r="K41" s="30"/>
      <c r="L41" s="30"/>
      <c r="M41" s="30"/>
      <c r="N41" s="30"/>
      <c r="O41" s="4">
        <v>19200</v>
      </c>
      <c r="P41" s="5">
        <v>124877</v>
      </c>
    </row>
    <row r="42" spans="1:16" s="3" customFormat="1" ht="15" customHeight="1" outlineLevel="5" x14ac:dyDescent="0.2">
      <c r="A42" s="31" t="s">
        <v>44</v>
      </c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1">
        <v>3000</v>
      </c>
      <c r="P42" s="2">
        <v>26100</v>
      </c>
    </row>
    <row r="43" spans="1:16" s="3" customFormat="1" ht="15" customHeight="1" outlineLevel="5" x14ac:dyDescent="0.2">
      <c r="A43" s="31" t="s">
        <v>45</v>
      </c>
      <c r="B43" s="31"/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1">
        <v>6500</v>
      </c>
      <c r="P43" s="2">
        <v>44525</v>
      </c>
    </row>
    <row r="44" spans="1:16" s="3" customFormat="1" ht="15" customHeight="1" outlineLevel="4" x14ac:dyDescent="0.2">
      <c r="A44" s="32" t="s">
        <v>32</v>
      </c>
      <c r="B44" s="32"/>
      <c r="C44" s="32"/>
      <c r="D44" s="32"/>
      <c r="E44" s="32"/>
      <c r="F44" s="32"/>
      <c r="G44" s="32"/>
      <c r="H44" s="32"/>
      <c r="I44" s="32"/>
      <c r="J44" s="32"/>
      <c r="K44" s="32"/>
      <c r="L44" s="32"/>
      <c r="M44" s="32"/>
      <c r="N44" s="32"/>
      <c r="O44" s="1">
        <v>1500</v>
      </c>
      <c r="P44" s="2">
        <v>12990</v>
      </c>
    </row>
    <row r="45" spans="1:16" s="3" customFormat="1" ht="15" customHeight="1" outlineLevel="5" x14ac:dyDescent="0.2">
      <c r="A45" s="32" t="s">
        <v>16</v>
      </c>
      <c r="B45" s="32"/>
      <c r="C45" s="32"/>
      <c r="D45" s="32"/>
      <c r="E45" s="32"/>
      <c r="F45" s="32"/>
      <c r="G45" s="32"/>
      <c r="H45" s="32"/>
      <c r="I45" s="32"/>
      <c r="J45" s="32"/>
      <c r="K45" s="32"/>
      <c r="L45" s="32"/>
      <c r="M45" s="32"/>
      <c r="N45" s="32"/>
      <c r="O45" s="1">
        <v>7000</v>
      </c>
      <c r="P45" s="2">
        <v>25410</v>
      </c>
    </row>
    <row r="46" spans="1:16" s="3" customFormat="1" ht="15" customHeight="1" outlineLevel="5" x14ac:dyDescent="0.2">
      <c r="A46" s="32" t="s">
        <v>39</v>
      </c>
      <c r="B46" s="32"/>
      <c r="C46" s="32"/>
      <c r="D46" s="32"/>
      <c r="E46" s="32"/>
      <c r="F46" s="32"/>
      <c r="G46" s="32"/>
      <c r="H46" s="32"/>
      <c r="I46" s="32"/>
      <c r="J46" s="32"/>
      <c r="K46" s="32"/>
      <c r="L46" s="32"/>
      <c r="M46" s="32"/>
      <c r="N46" s="32"/>
      <c r="O46" s="1">
        <v>1200</v>
      </c>
      <c r="P46" s="2">
        <v>15852</v>
      </c>
    </row>
    <row r="47" spans="1:16" ht="15" customHeight="1" x14ac:dyDescent="0.2">
      <c r="A47" s="30" t="s">
        <v>46</v>
      </c>
      <c r="B47" s="30"/>
      <c r="C47" s="30"/>
      <c r="D47" s="30"/>
      <c r="E47" s="30"/>
      <c r="F47" s="30"/>
      <c r="G47" s="30"/>
      <c r="H47" s="30"/>
      <c r="I47" s="30"/>
      <c r="J47" s="30"/>
      <c r="K47" s="30"/>
      <c r="L47" s="30"/>
      <c r="M47" s="30"/>
      <c r="N47" s="30"/>
      <c r="O47" s="4">
        <v>15750</v>
      </c>
      <c r="P47" s="5">
        <v>59730</v>
      </c>
    </row>
    <row r="48" spans="1:16" s="3" customFormat="1" ht="15" customHeight="1" outlineLevel="5" x14ac:dyDescent="0.2">
      <c r="A48" s="31" t="s">
        <v>47</v>
      </c>
      <c r="B48" s="31"/>
      <c r="C48" s="31"/>
      <c r="D48" s="31"/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1">
        <v>8000</v>
      </c>
      <c r="P48" s="2">
        <v>16960</v>
      </c>
    </row>
    <row r="49" spans="1:16" s="3" customFormat="1" ht="15" customHeight="1" outlineLevel="5" x14ac:dyDescent="0.2">
      <c r="A49" s="31" t="s">
        <v>48</v>
      </c>
      <c r="B49" s="31"/>
      <c r="C49" s="31"/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1">
        <v>2000</v>
      </c>
      <c r="P49" s="2">
        <v>3580</v>
      </c>
    </row>
    <row r="50" spans="1:16" s="3" customFormat="1" ht="15" customHeight="1" outlineLevel="5" x14ac:dyDescent="0.2">
      <c r="A50" s="31" t="s">
        <v>49</v>
      </c>
      <c r="B50" s="31"/>
      <c r="C50" s="31"/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6">
        <v>750</v>
      </c>
      <c r="P50" s="2">
        <v>2190</v>
      </c>
    </row>
    <row r="51" spans="1:16" s="3" customFormat="1" ht="15" customHeight="1" outlineLevel="4" x14ac:dyDescent="0.2">
      <c r="A51" s="32" t="s">
        <v>31</v>
      </c>
      <c r="B51" s="32"/>
      <c r="C51" s="32"/>
      <c r="D51" s="32"/>
      <c r="E51" s="32"/>
      <c r="F51" s="32"/>
      <c r="G51" s="32"/>
      <c r="H51" s="32"/>
      <c r="I51" s="32"/>
      <c r="J51" s="32"/>
      <c r="K51" s="32"/>
      <c r="L51" s="32"/>
      <c r="M51" s="32"/>
      <c r="N51" s="32"/>
      <c r="O51" s="1">
        <v>5000</v>
      </c>
      <c r="P51" s="2">
        <v>37000</v>
      </c>
    </row>
    <row r="52" spans="1:16" s="3" customFormat="1" ht="15" customHeight="1" x14ac:dyDescent="0.2">
      <c r="A52" s="30" t="s">
        <v>50</v>
      </c>
      <c r="B52" s="30"/>
      <c r="C52" s="30"/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4">
        <v>2000</v>
      </c>
      <c r="P52" s="5">
        <v>9140</v>
      </c>
    </row>
    <row r="53" spans="1:16" s="3" customFormat="1" ht="15" customHeight="1" outlineLevel="5" x14ac:dyDescent="0.2">
      <c r="A53" s="31" t="s">
        <v>51</v>
      </c>
      <c r="B53" s="31"/>
      <c r="C53" s="31"/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1">
        <v>2000</v>
      </c>
      <c r="P53" s="2">
        <v>9140</v>
      </c>
    </row>
    <row r="54" spans="1:16" s="3" customFormat="1" ht="15" customHeight="1" x14ac:dyDescent="0.2">
      <c r="A54" s="30" t="s">
        <v>52</v>
      </c>
      <c r="B54" s="30"/>
      <c r="C54" s="30"/>
      <c r="D54" s="30"/>
      <c r="E54" s="30"/>
      <c r="F54" s="30"/>
      <c r="G54" s="30"/>
      <c r="H54" s="30"/>
      <c r="I54" s="30"/>
      <c r="J54" s="30"/>
      <c r="K54" s="30"/>
      <c r="L54" s="30"/>
      <c r="M54" s="30"/>
      <c r="N54" s="30"/>
      <c r="O54" s="4">
        <v>15350</v>
      </c>
      <c r="P54" s="5">
        <v>127347.5</v>
      </c>
    </row>
    <row r="55" spans="1:16" s="3" customFormat="1" ht="15" customHeight="1" outlineLevel="4" x14ac:dyDescent="0.2">
      <c r="A55" s="32" t="s">
        <v>32</v>
      </c>
      <c r="B55" s="32"/>
      <c r="C55" s="32"/>
      <c r="D55" s="32"/>
      <c r="E55" s="32"/>
      <c r="F55" s="32"/>
      <c r="G55" s="32"/>
      <c r="H55" s="32"/>
      <c r="I55" s="32"/>
      <c r="J55" s="32"/>
      <c r="K55" s="32"/>
      <c r="L55" s="32"/>
      <c r="M55" s="32"/>
      <c r="N55" s="32"/>
      <c r="O55" s="1">
        <v>15000</v>
      </c>
      <c r="P55" s="2">
        <v>126000</v>
      </c>
    </row>
    <row r="56" spans="1:16" s="3" customFormat="1" ht="15" customHeight="1" outlineLevel="5" x14ac:dyDescent="0.2">
      <c r="A56" s="31" t="s">
        <v>16</v>
      </c>
      <c r="B56" s="31"/>
      <c r="C56" s="31"/>
      <c r="D56" s="31"/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6">
        <v>350</v>
      </c>
      <c r="P56" s="2">
        <v>1347.5</v>
      </c>
    </row>
    <row r="57" spans="1:16" ht="15" customHeight="1" x14ac:dyDescent="0.2">
      <c r="A57" s="30" t="s">
        <v>53</v>
      </c>
      <c r="B57" s="30"/>
      <c r="C57" s="30"/>
      <c r="D57" s="30"/>
      <c r="E57" s="30"/>
      <c r="F57" s="30"/>
      <c r="G57" s="30"/>
      <c r="H57" s="30"/>
      <c r="I57" s="30"/>
      <c r="J57" s="30"/>
      <c r="K57" s="30"/>
      <c r="L57" s="30"/>
      <c r="M57" s="30"/>
      <c r="N57" s="30"/>
      <c r="O57" s="4">
        <v>10650</v>
      </c>
      <c r="P57" s="5">
        <v>27370.5</v>
      </c>
    </row>
    <row r="58" spans="1:16" s="3" customFormat="1" ht="15" customHeight="1" outlineLevel="5" x14ac:dyDescent="0.2">
      <c r="A58" s="31" t="s">
        <v>54</v>
      </c>
      <c r="B58" s="31"/>
      <c r="C58" s="31"/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1">
        <v>10650</v>
      </c>
      <c r="P58" s="2">
        <v>27370.5</v>
      </c>
    </row>
    <row r="59" spans="1:16" s="3" customFormat="1" ht="15" customHeight="1" x14ac:dyDescent="0.2">
      <c r="A59" s="30" t="s">
        <v>55</v>
      </c>
      <c r="B59" s="30"/>
      <c r="C59" s="30"/>
      <c r="D59" s="30"/>
      <c r="E59" s="30"/>
      <c r="F59" s="30"/>
      <c r="G59" s="30"/>
      <c r="H59" s="30"/>
      <c r="I59" s="30"/>
      <c r="J59" s="30"/>
      <c r="K59" s="30"/>
      <c r="L59" s="30"/>
      <c r="M59" s="30"/>
      <c r="N59" s="30"/>
      <c r="O59" s="7">
        <v>2</v>
      </c>
      <c r="P59" s="9">
        <v>364.14</v>
      </c>
    </row>
    <row r="60" spans="1:16" s="3" customFormat="1" ht="15" customHeight="1" outlineLevel="4" x14ac:dyDescent="0.2">
      <c r="A60" s="32" t="s">
        <v>29</v>
      </c>
      <c r="B60" s="32"/>
      <c r="C60" s="32"/>
      <c r="D60" s="32"/>
      <c r="E60" s="32"/>
      <c r="F60" s="32"/>
      <c r="G60" s="32"/>
      <c r="H60" s="32"/>
      <c r="I60" s="32"/>
      <c r="J60" s="32"/>
      <c r="K60" s="32"/>
      <c r="L60" s="32"/>
      <c r="M60" s="32"/>
      <c r="N60" s="32"/>
      <c r="O60" s="6">
        <v>2</v>
      </c>
      <c r="P60" s="8">
        <v>364.14</v>
      </c>
    </row>
    <row r="61" spans="1:16" s="3" customFormat="1" ht="15" customHeight="1" x14ac:dyDescent="0.2">
      <c r="A61" s="30" t="s">
        <v>56</v>
      </c>
      <c r="B61" s="30"/>
      <c r="C61" s="30"/>
      <c r="D61" s="30"/>
      <c r="E61" s="30"/>
      <c r="F61" s="30"/>
      <c r="G61" s="30"/>
      <c r="H61" s="30"/>
      <c r="I61" s="30"/>
      <c r="J61" s="30"/>
      <c r="K61" s="30"/>
      <c r="L61" s="30"/>
      <c r="M61" s="30"/>
      <c r="N61" s="30"/>
      <c r="O61" s="4">
        <v>7000</v>
      </c>
      <c r="P61" s="5">
        <v>57510</v>
      </c>
    </row>
    <row r="62" spans="1:16" s="3" customFormat="1" ht="15" customHeight="1" outlineLevel="4" x14ac:dyDescent="0.2">
      <c r="A62" s="32" t="s">
        <v>31</v>
      </c>
      <c r="B62" s="32"/>
      <c r="C62" s="32"/>
      <c r="D62" s="32"/>
      <c r="E62" s="32"/>
      <c r="F62" s="32"/>
      <c r="G62" s="32"/>
      <c r="H62" s="32"/>
      <c r="I62" s="32"/>
      <c r="J62" s="32"/>
      <c r="K62" s="32"/>
      <c r="L62" s="32"/>
      <c r="M62" s="32"/>
      <c r="N62" s="32"/>
      <c r="O62" s="1">
        <v>6000</v>
      </c>
      <c r="P62" s="2">
        <v>44400</v>
      </c>
    </row>
    <row r="63" spans="1:16" s="3" customFormat="1" ht="15" customHeight="1" outlineLevel="5" x14ac:dyDescent="0.2">
      <c r="A63" s="31" t="s">
        <v>39</v>
      </c>
      <c r="B63" s="31"/>
      <c r="C63" s="31"/>
      <c r="D63" s="31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1">
        <v>1000</v>
      </c>
      <c r="P63" s="2">
        <v>13110</v>
      </c>
    </row>
    <row r="64" spans="1:16" s="3" customFormat="1" ht="15" customHeight="1" x14ac:dyDescent="0.2">
      <c r="A64" s="30" t="s">
        <v>57</v>
      </c>
      <c r="B64" s="30"/>
      <c r="C64" s="30"/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4">
        <v>18000</v>
      </c>
      <c r="P64" s="5">
        <v>42020</v>
      </c>
    </row>
    <row r="65" spans="1:16" s="3" customFormat="1" ht="15" customHeight="1" outlineLevel="5" x14ac:dyDescent="0.2">
      <c r="A65" s="31" t="s">
        <v>58</v>
      </c>
      <c r="B65" s="31"/>
      <c r="C65" s="31"/>
      <c r="D65" s="31"/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1">
        <v>6000</v>
      </c>
      <c r="P65" s="2">
        <v>17400</v>
      </c>
    </row>
    <row r="66" spans="1:16" s="3" customFormat="1" ht="15" customHeight="1" outlineLevel="5" x14ac:dyDescent="0.2">
      <c r="A66" s="31" t="s">
        <v>59</v>
      </c>
      <c r="B66" s="31"/>
      <c r="C66" s="31"/>
      <c r="D66" s="31"/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1">
        <v>2000</v>
      </c>
      <c r="P66" s="2">
        <v>5520</v>
      </c>
    </row>
    <row r="67" spans="1:16" s="3" customFormat="1" ht="15" customHeight="1" outlineLevel="5" x14ac:dyDescent="0.2">
      <c r="A67" s="31" t="s">
        <v>60</v>
      </c>
      <c r="B67" s="31"/>
      <c r="C67" s="31"/>
      <c r="D67" s="31"/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1">
        <v>10000</v>
      </c>
      <c r="P67" s="2">
        <v>19100</v>
      </c>
    </row>
    <row r="68" spans="1:16" s="3" customFormat="1" ht="15" customHeight="1" x14ac:dyDescent="0.2">
      <c r="A68" s="30" t="s">
        <v>61</v>
      </c>
      <c r="B68" s="30"/>
      <c r="C68" s="30"/>
      <c r="D68" s="30"/>
      <c r="E68" s="30"/>
      <c r="F68" s="30"/>
      <c r="G68" s="30"/>
      <c r="H68" s="30"/>
      <c r="I68" s="30"/>
      <c r="J68" s="30"/>
      <c r="K68" s="30"/>
      <c r="L68" s="30"/>
      <c r="M68" s="30"/>
      <c r="N68" s="30"/>
      <c r="O68" s="4">
        <v>21500</v>
      </c>
      <c r="P68" s="5">
        <v>85670</v>
      </c>
    </row>
    <row r="69" spans="1:16" s="3" customFormat="1" ht="15" customHeight="1" outlineLevel="5" x14ac:dyDescent="0.2">
      <c r="A69" s="31" t="s">
        <v>62</v>
      </c>
      <c r="B69" s="31"/>
      <c r="C69" s="31"/>
      <c r="D69" s="31"/>
      <c r="E69" s="31"/>
      <c r="F69" s="31"/>
      <c r="G69" s="31"/>
      <c r="H69" s="31"/>
      <c r="I69" s="31"/>
      <c r="J69" s="31"/>
      <c r="K69" s="31"/>
      <c r="L69" s="31"/>
      <c r="M69" s="31"/>
      <c r="N69" s="31"/>
      <c r="O69" s="1">
        <v>1500</v>
      </c>
      <c r="P69" s="2">
        <v>20520</v>
      </c>
    </row>
    <row r="70" spans="1:16" s="3" customFormat="1" ht="15" customHeight="1" outlineLevel="5" x14ac:dyDescent="0.2">
      <c r="A70" s="31" t="s">
        <v>63</v>
      </c>
      <c r="B70" s="31"/>
      <c r="C70" s="31"/>
      <c r="D70" s="31"/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1">
        <v>5000</v>
      </c>
      <c r="P70" s="2">
        <v>11700</v>
      </c>
    </row>
    <row r="71" spans="1:16" s="3" customFormat="1" ht="15" customHeight="1" outlineLevel="5" x14ac:dyDescent="0.2">
      <c r="A71" s="31" t="s">
        <v>64</v>
      </c>
      <c r="B71" s="31"/>
      <c r="C71" s="31"/>
      <c r="D71" s="31"/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1">
        <v>3000</v>
      </c>
      <c r="P71" s="2">
        <v>15900</v>
      </c>
    </row>
    <row r="72" spans="1:16" s="3" customFormat="1" ht="15" customHeight="1" outlineLevel="5" x14ac:dyDescent="0.2">
      <c r="A72" s="31" t="s">
        <v>65</v>
      </c>
      <c r="B72" s="31"/>
      <c r="C72" s="31"/>
      <c r="D72" s="31"/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1">
        <v>2000</v>
      </c>
      <c r="P72" s="2">
        <v>6220</v>
      </c>
    </row>
    <row r="73" spans="1:16" s="3" customFormat="1" ht="15" customHeight="1" outlineLevel="5" x14ac:dyDescent="0.2">
      <c r="A73" s="31" t="s">
        <v>66</v>
      </c>
      <c r="B73" s="31"/>
      <c r="C73" s="31"/>
      <c r="D73" s="31"/>
      <c r="E73" s="31"/>
      <c r="F73" s="31"/>
      <c r="G73" s="31"/>
      <c r="H73" s="31"/>
      <c r="I73" s="31"/>
      <c r="J73" s="31"/>
      <c r="K73" s="31"/>
      <c r="L73" s="31"/>
      <c r="M73" s="31"/>
      <c r="N73" s="31"/>
      <c r="O73" s="1">
        <v>3000</v>
      </c>
      <c r="P73" s="2">
        <v>8130</v>
      </c>
    </row>
    <row r="74" spans="1:16" s="13" customFormat="1" ht="15" customHeight="1" outlineLevel="5" x14ac:dyDescent="0.2">
      <c r="A74" s="31" t="s">
        <v>67</v>
      </c>
      <c r="B74" s="31"/>
      <c r="C74" s="31"/>
      <c r="D74" s="31"/>
      <c r="E74" s="31"/>
      <c r="F74" s="31"/>
      <c r="G74" s="31"/>
      <c r="H74" s="31"/>
      <c r="I74" s="31"/>
      <c r="J74" s="31"/>
      <c r="K74" s="31"/>
      <c r="L74" s="31"/>
      <c r="M74" s="31"/>
      <c r="N74" s="31"/>
      <c r="O74" s="1">
        <v>3000</v>
      </c>
      <c r="P74" s="2">
        <v>8400</v>
      </c>
    </row>
    <row r="75" spans="1:16" s="3" customFormat="1" ht="15" customHeight="1" outlineLevel="5" x14ac:dyDescent="0.2">
      <c r="A75" s="31" t="s">
        <v>16</v>
      </c>
      <c r="B75" s="31"/>
      <c r="C75" s="31"/>
      <c r="D75" s="31"/>
      <c r="E75" s="31"/>
      <c r="F75" s="31"/>
      <c r="G75" s="31"/>
      <c r="H75" s="31"/>
      <c r="I75" s="31"/>
      <c r="J75" s="31"/>
      <c r="K75" s="31"/>
      <c r="L75" s="31"/>
      <c r="M75" s="31"/>
      <c r="N75" s="31"/>
      <c r="O75" s="1">
        <v>4000</v>
      </c>
      <c r="P75" s="2">
        <v>14800</v>
      </c>
    </row>
    <row r="76" spans="1:16" s="3" customFormat="1" ht="15" customHeight="1" x14ac:dyDescent="0.2">
      <c r="A76" s="30" t="s">
        <v>68</v>
      </c>
      <c r="B76" s="30"/>
      <c r="C76" s="30"/>
      <c r="D76" s="30"/>
      <c r="E76" s="30"/>
      <c r="F76" s="30"/>
      <c r="G76" s="30"/>
      <c r="H76" s="30"/>
      <c r="I76" s="30"/>
      <c r="J76" s="30"/>
      <c r="K76" s="30"/>
      <c r="L76" s="30"/>
      <c r="M76" s="30"/>
      <c r="N76" s="30"/>
      <c r="O76" s="4">
        <v>8500</v>
      </c>
      <c r="P76" s="5">
        <v>39275</v>
      </c>
    </row>
    <row r="77" spans="1:16" s="3" customFormat="1" ht="15" customHeight="1" outlineLevel="5" x14ac:dyDescent="0.2">
      <c r="A77" s="31" t="s">
        <v>69</v>
      </c>
      <c r="B77" s="31"/>
      <c r="C77" s="31"/>
      <c r="D77" s="31"/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1">
        <v>4000</v>
      </c>
      <c r="P77" s="2">
        <v>19440</v>
      </c>
    </row>
    <row r="78" spans="1:16" s="3" customFormat="1" ht="15" customHeight="1" outlineLevel="5" x14ac:dyDescent="0.2">
      <c r="A78" s="31" t="s">
        <v>70</v>
      </c>
      <c r="B78" s="31"/>
      <c r="C78" s="31"/>
      <c r="D78" s="31"/>
      <c r="E78" s="31"/>
      <c r="F78" s="31"/>
      <c r="G78" s="31"/>
      <c r="H78" s="31"/>
      <c r="I78" s="31"/>
      <c r="J78" s="31"/>
      <c r="K78" s="31"/>
      <c r="L78" s="31"/>
      <c r="M78" s="31"/>
      <c r="N78" s="31"/>
      <c r="O78" s="1">
        <v>2500</v>
      </c>
      <c r="P78" s="2">
        <v>13875</v>
      </c>
    </row>
    <row r="79" spans="1:16" s="3" customFormat="1" ht="15" customHeight="1" outlineLevel="5" x14ac:dyDescent="0.2">
      <c r="A79" s="31" t="s">
        <v>71</v>
      </c>
      <c r="B79" s="31"/>
      <c r="C79" s="31"/>
      <c r="D79" s="31"/>
      <c r="E79" s="31"/>
      <c r="F79" s="31"/>
      <c r="G79" s="31"/>
      <c r="H79" s="31"/>
      <c r="I79" s="31"/>
      <c r="J79" s="31"/>
      <c r="K79" s="31"/>
      <c r="L79" s="31"/>
      <c r="M79" s="31"/>
      <c r="N79" s="31"/>
      <c r="O79" s="1">
        <v>2000</v>
      </c>
      <c r="P79" s="2">
        <v>5960</v>
      </c>
    </row>
    <row r="80" spans="1:16" s="3" customFormat="1" ht="15" customHeight="1" x14ac:dyDescent="0.2">
      <c r="A80" s="30" t="s">
        <v>72</v>
      </c>
      <c r="B80" s="30"/>
      <c r="C80" s="30"/>
      <c r="D80" s="30"/>
      <c r="E80" s="30"/>
      <c r="F80" s="30"/>
      <c r="G80" s="30"/>
      <c r="H80" s="30"/>
      <c r="I80" s="30"/>
      <c r="J80" s="30"/>
      <c r="K80" s="30"/>
      <c r="L80" s="30"/>
      <c r="M80" s="30"/>
      <c r="N80" s="30"/>
      <c r="O80" s="4">
        <v>3000</v>
      </c>
      <c r="P80" s="5">
        <v>4800</v>
      </c>
    </row>
    <row r="81" spans="1:16" s="3" customFormat="1" ht="15" customHeight="1" outlineLevel="6" x14ac:dyDescent="0.2">
      <c r="A81" s="33" t="s">
        <v>73</v>
      </c>
      <c r="B81" s="33"/>
      <c r="C81" s="33"/>
      <c r="D81" s="33"/>
      <c r="E81" s="33"/>
      <c r="F81" s="33"/>
      <c r="G81" s="33"/>
      <c r="H81" s="33"/>
      <c r="I81" s="33"/>
      <c r="J81" s="33"/>
      <c r="K81" s="33"/>
      <c r="L81" s="33"/>
      <c r="M81" s="33"/>
      <c r="N81" s="33"/>
      <c r="O81" s="1">
        <v>3000</v>
      </c>
      <c r="P81" s="2">
        <v>4800</v>
      </c>
    </row>
    <row r="82" spans="1:16" s="3" customFormat="1" ht="15" customHeight="1" x14ac:dyDescent="0.2">
      <c r="A82" s="30" t="s">
        <v>74</v>
      </c>
      <c r="B82" s="30"/>
      <c r="C82" s="30"/>
      <c r="D82" s="30"/>
      <c r="E82" s="30"/>
      <c r="F82" s="30"/>
      <c r="G82" s="30"/>
      <c r="H82" s="30"/>
      <c r="I82" s="30"/>
      <c r="J82" s="30"/>
      <c r="K82" s="30"/>
      <c r="L82" s="30"/>
      <c r="M82" s="30"/>
      <c r="N82" s="30"/>
      <c r="O82" s="4">
        <v>13000</v>
      </c>
      <c r="P82" s="5">
        <v>48640</v>
      </c>
    </row>
    <row r="83" spans="1:16" s="3" customFormat="1" ht="15" customHeight="1" outlineLevel="5" x14ac:dyDescent="0.2">
      <c r="A83" s="31" t="s">
        <v>75</v>
      </c>
      <c r="B83" s="31"/>
      <c r="C83" s="31"/>
      <c r="D83" s="31"/>
      <c r="E83" s="31"/>
      <c r="F83" s="31"/>
      <c r="G83" s="31"/>
      <c r="H83" s="31"/>
      <c r="I83" s="31"/>
      <c r="J83" s="31"/>
      <c r="K83" s="31"/>
      <c r="L83" s="31"/>
      <c r="M83" s="31"/>
      <c r="N83" s="31"/>
      <c r="O83" s="1">
        <v>2000</v>
      </c>
      <c r="P83" s="2">
        <v>8100</v>
      </c>
    </row>
    <row r="84" spans="1:16" s="3" customFormat="1" ht="15" customHeight="1" outlineLevel="5" x14ac:dyDescent="0.2">
      <c r="A84" s="31" t="s">
        <v>76</v>
      </c>
      <c r="B84" s="31"/>
      <c r="C84" s="31"/>
      <c r="D84" s="31"/>
      <c r="E84" s="31"/>
      <c r="F84" s="31"/>
      <c r="G84" s="31"/>
      <c r="H84" s="31"/>
      <c r="I84" s="31"/>
      <c r="J84" s="31"/>
      <c r="K84" s="31"/>
      <c r="L84" s="31"/>
      <c r="M84" s="31"/>
      <c r="N84" s="31"/>
      <c r="O84" s="1">
        <v>8000</v>
      </c>
      <c r="P84" s="2">
        <v>31600</v>
      </c>
    </row>
    <row r="85" spans="1:16" s="3" customFormat="1" ht="15" customHeight="1" outlineLevel="5" x14ac:dyDescent="0.2">
      <c r="A85" s="31" t="s">
        <v>77</v>
      </c>
      <c r="B85" s="31"/>
      <c r="C85" s="31"/>
      <c r="D85" s="31"/>
      <c r="E85" s="31"/>
      <c r="F85" s="31"/>
      <c r="G85" s="31"/>
      <c r="H85" s="31"/>
      <c r="I85" s="31"/>
      <c r="J85" s="31"/>
      <c r="K85" s="31"/>
      <c r="L85" s="31"/>
      <c r="M85" s="31"/>
      <c r="N85" s="31"/>
      <c r="O85" s="1">
        <v>3000</v>
      </c>
      <c r="P85" s="2">
        <v>8940</v>
      </c>
    </row>
    <row r="86" spans="1:16" s="3" customFormat="1" ht="15" customHeight="1" x14ac:dyDescent="0.2">
      <c r="A86" s="30" t="s">
        <v>78</v>
      </c>
      <c r="B86" s="30"/>
      <c r="C86" s="30"/>
      <c r="D86" s="30"/>
      <c r="E86" s="30"/>
      <c r="F86" s="30"/>
      <c r="G86" s="30"/>
      <c r="H86" s="30"/>
      <c r="I86" s="30"/>
      <c r="J86" s="30"/>
      <c r="K86" s="30"/>
      <c r="L86" s="30"/>
      <c r="M86" s="30"/>
      <c r="N86" s="30"/>
      <c r="O86" s="7">
        <v>325</v>
      </c>
      <c r="P86" s="5">
        <v>2860</v>
      </c>
    </row>
    <row r="87" spans="1:16" s="3" customFormat="1" ht="15" customHeight="1" outlineLevel="4" x14ac:dyDescent="0.2">
      <c r="A87" s="32" t="s">
        <v>79</v>
      </c>
      <c r="B87" s="32"/>
      <c r="C87" s="32"/>
      <c r="D87" s="32"/>
      <c r="E87" s="32"/>
      <c r="F87" s="32"/>
      <c r="G87" s="32"/>
      <c r="H87" s="32"/>
      <c r="I87" s="32"/>
      <c r="J87" s="32"/>
      <c r="K87" s="32"/>
      <c r="L87" s="32"/>
      <c r="M87" s="32"/>
      <c r="N87" s="32"/>
      <c r="O87" s="6">
        <v>325</v>
      </c>
      <c r="P87" s="2">
        <v>2860</v>
      </c>
    </row>
    <row r="88" spans="1:16" s="3" customFormat="1" ht="15" customHeight="1" x14ac:dyDescent="0.2">
      <c r="A88" s="30" t="s">
        <v>80</v>
      </c>
      <c r="B88" s="30"/>
      <c r="C88" s="30"/>
      <c r="D88" s="30"/>
      <c r="E88" s="30"/>
      <c r="F88" s="30"/>
      <c r="G88" s="30"/>
      <c r="H88" s="30"/>
      <c r="I88" s="30"/>
      <c r="J88" s="30"/>
      <c r="K88" s="30"/>
      <c r="L88" s="30"/>
      <c r="M88" s="30"/>
      <c r="N88" s="30"/>
      <c r="O88" s="7">
        <v>800</v>
      </c>
      <c r="P88" s="5">
        <v>1804</v>
      </c>
    </row>
    <row r="89" spans="1:16" s="3" customFormat="1" ht="15" customHeight="1" outlineLevel="5" x14ac:dyDescent="0.2">
      <c r="A89" s="31" t="s">
        <v>54</v>
      </c>
      <c r="B89" s="31"/>
      <c r="C89" s="31"/>
      <c r="D89" s="31"/>
      <c r="E89" s="31"/>
      <c r="F89" s="31"/>
      <c r="G89" s="31"/>
      <c r="H89" s="31"/>
      <c r="I89" s="31"/>
      <c r="J89" s="31"/>
      <c r="K89" s="31"/>
      <c r="L89" s="31"/>
      <c r="M89" s="31"/>
      <c r="N89" s="31"/>
      <c r="O89" s="6">
        <v>600</v>
      </c>
      <c r="P89" s="2">
        <v>1476</v>
      </c>
    </row>
    <row r="90" spans="1:16" s="3" customFormat="1" ht="15" customHeight="1" outlineLevel="5" x14ac:dyDescent="0.2">
      <c r="A90" s="31" t="s">
        <v>13</v>
      </c>
      <c r="B90" s="31"/>
      <c r="C90" s="31"/>
      <c r="D90" s="31"/>
      <c r="E90" s="31"/>
      <c r="F90" s="31"/>
      <c r="G90" s="31"/>
      <c r="H90" s="31"/>
      <c r="I90" s="31"/>
      <c r="J90" s="31"/>
      <c r="K90" s="31"/>
      <c r="L90" s="31"/>
      <c r="M90" s="31"/>
      <c r="N90" s="31"/>
      <c r="O90" s="6">
        <v>200</v>
      </c>
      <c r="P90" s="8">
        <v>328</v>
      </c>
    </row>
    <row r="91" spans="1:16" s="3" customFormat="1" ht="15" customHeight="1" x14ac:dyDescent="0.2">
      <c r="A91" s="30" t="s">
        <v>81</v>
      </c>
      <c r="B91" s="30"/>
      <c r="C91" s="30"/>
      <c r="D91" s="30"/>
      <c r="E91" s="30"/>
      <c r="F91" s="30"/>
      <c r="G91" s="30"/>
      <c r="H91" s="30"/>
      <c r="I91" s="30"/>
      <c r="J91" s="30"/>
      <c r="K91" s="30"/>
      <c r="L91" s="30"/>
      <c r="M91" s="30"/>
      <c r="N91" s="30"/>
      <c r="O91" s="4">
        <v>10000</v>
      </c>
      <c r="P91" s="5">
        <v>31200</v>
      </c>
    </row>
    <row r="92" spans="1:16" s="3" customFormat="1" ht="15" customHeight="1" outlineLevel="5" x14ac:dyDescent="0.2">
      <c r="A92" s="31" t="s">
        <v>82</v>
      </c>
      <c r="B92" s="31"/>
      <c r="C92" s="31"/>
      <c r="D92" s="31"/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1">
        <v>10000</v>
      </c>
      <c r="P92" s="2">
        <v>31200</v>
      </c>
    </row>
    <row r="93" spans="1:16" s="3" customFormat="1" ht="15" customHeight="1" x14ac:dyDescent="0.2">
      <c r="A93" s="30" t="s">
        <v>92</v>
      </c>
      <c r="B93" s="30"/>
      <c r="C93" s="30"/>
      <c r="D93" s="30"/>
      <c r="E93" s="30"/>
      <c r="F93" s="30"/>
      <c r="G93" s="30"/>
      <c r="H93" s="30"/>
      <c r="I93" s="30"/>
      <c r="J93" s="30"/>
      <c r="K93" s="30"/>
      <c r="L93" s="30"/>
      <c r="M93" s="30"/>
      <c r="N93" s="30"/>
      <c r="O93" s="4">
        <v>15375</v>
      </c>
      <c r="P93" s="5">
        <v>72854.5</v>
      </c>
    </row>
    <row r="94" spans="1:16" s="3" customFormat="1" ht="15" customHeight="1" outlineLevel="5" x14ac:dyDescent="0.2">
      <c r="A94" s="31" t="s">
        <v>93</v>
      </c>
      <c r="B94" s="31"/>
      <c r="C94" s="31"/>
      <c r="D94" s="31"/>
      <c r="E94" s="31"/>
      <c r="F94" s="31"/>
      <c r="G94" s="31"/>
      <c r="H94" s="31"/>
      <c r="I94" s="31"/>
      <c r="J94" s="31"/>
      <c r="K94" s="31"/>
      <c r="L94" s="31"/>
      <c r="M94" s="31"/>
      <c r="N94" s="31"/>
      <c r="O94" s="1">
        <v>1000</v>
      </c>
      <c r="P94" s="2">
        <v>6620</v>
      </c>
    </row>
    <row r="95" spans="1:16" s="3" customFormat="1" ht="15" customHeight="1" outlineLevel="5" x14ac:dyDescent="0.2">
      <c r="A95" s="31" t="s">
        <v>60</v>
      </c>
      <c r="B95" s="31"/>
      <c r="C95" s="31"/>
      <c r="D95" s="31"/>
      <c r="E95" s="31"/>
      <c r="F95" s="31"/>
      <c r="G95" s="31"/>
      <c r="H95" s="31"/>
      <c r="I95" s="31"/>
      <c r="J95" s="31"/>
      <c r="K95" s="31"/>
      <c r="L95" s="31"/>
      <c r="M95" s="31"/>
      <c r="N95" s="31"/>
      <c r="O95" s="1">
        <v>5525</v>
      </c>
      <c r="P95" s="2">
        <v>9945</v>
      </c>
    </row>
    <row r="96" spans="1:16" s="3" customFormat="1" ht="15" customHeight="1" outlineLevel="5" x14ac:dyDescent="0.2">
      <c r="A96" s="31" t="s">
        <v>94</v>
      </c>
      <c r="B96" s="31"/>
      <c r="C96" s="31"/>
      <c r="D96" s="31"/>
      <c r="E96" s="31"/>
      <c r="F96" s="31"/>
      <c r="G96" s="31"/>
      <c r="H96" s="31"/>
      <c r="I96" s="31"/>
      <c r="J96" s="31"/>
      <c r="K96" s="31"/>
      <c r="L96" s="31"/>
      <c r="M96" s="31"/>
      <c r="N96" s="31"/>
      <c r="O96" s="1">
        <v>4000</v>
      </c>
      <c r="P96" s="2">
        <v>8120</v>
      </c>
    </row>
    <row r="97" spans="1:17" s="3" customFormat="1" ht="15" customHeight="1" outlineLevel="4" x14ac:dyDescent="0.2">
      <c r="A97" s="32" t="s">
        <v>31</v>
      </c>
      <c r="B97" s="32"/>
      <c r="C97" s="32"/>
      <c r="D97" s="32"/>
      <c r="E97" s="32"/>
      <c r="F97" s="32"/>
      <c r="G97" s="32"/>
      <c r="H97" s="32"/>
      <c r="I97" s="32"/>
      <c r="J97" s="32"/>
      <c r="K97" s="32"/>
      <c r="L97" s="32"/>
      <c r="M97" s="32"/>
      <c r="N97" s="32"/>
      <c r="O97" s="1">
        <v>2625</v>
      </c>
      <c r="P97" s="2">
        <v>17676</v>
      </c>
    </row>
    <row r="98" spans="1:17" s="16" customFormat="1" ht="15" customHeight="1" outlineLevel="4" x14ac:dyDescent="0.2">
      <c r="A98" s="34" t="s">
        <v>32</v>
      </c>
      <c r="B98" s="34"/>
      <c r="C98" s="34"/>
      <c r="D98" s="34"/>
      <c r="E98" s="34"/>
      <c r="F98" s="34"/>
      <c r="G98" s="34"/>
      <c r="H98" s="34"/>
      <c r="I98" s="34"/>
      <c r="J98" s="34"/>
      <c r="K98" s="34"/>
      <c r="L98" s="34"/>
      <c r="M98" s="34"/>
      <c r="N98" s="34"/>
      <c r="O98" s="18">
        <v>200</v>
      </c>
      <c r="P98" s="17">
        <v>1740</v>
      </c>
    </row>
    <row r="99" spans="1:17" s="16" customFormat="1" ht="15" customHeight="1" outlineLevel="4" x14ac:dyDescent="0.2">
      <c r="A99" s="34" t="s">
        <v>34</v>
      </c>
      <c r="B99" s="34"/>
      <c r="C99" s="34"/>
      <c r="D99" s="34"/>
      <c r="E99" s="34"/>
      <c r="F99" s="34"/>
      <c r="G99" s="34"/>
      <c r="H99" s="34"/>
      <c r="I99" s="34"/>
      <c r="J99" s="34"/>
      <c r="K99" s="34"/>
      <c r="L99" s="34"/>
      <c r="M99" s="34"/>
      <c r="N99" s="34"/>
      <c r="O99" s="18">
        <v>75</v>
      </c>
      <c r="P99" s="17">
        <v>1138.5</v>
      </c>
    </row>
    <row r="100" spans="1:17" s="16" customFormat="1" ht="15" customHeight="1" outlineLevel="4" x14ac:dyDescent="0.2">
      <c r="A100" s="34" t="s">
        <v>35</v>
      </c>
      <c r="B100" s="34"/>
      <c r="C100" s="34"/>
      <c r="D100" s="34"/>
      <c r="E100" s="34"/>
      <c r="F100" s="34"/>
      <c r="G100" s="34"/>
      <c r="H100" s="34"/>
      <c r="I100" s="34"/>
      <c r="J100" s="34"/>
      <c r="K100" s="34"/>
      <c r="L100" s="34"/>
      <c r="M100" s="34"/>
      <c r="N100" s="34"/>
      <c r="O100" s="18">
        <v>100</v>
      </c>
      <c r="P100" s="17">
        <v>3555</v>
      </c>
    </row>
    <row r="101" spans="1:17" s="16" customFormat="1" ht="15" customHeight="1" outlineLevel="4" x14ac:dyDescent="0.2">
      <c r="A101" s="34" t="s">
        <v>29</v>
      </c>
      <c r="B101" s="34"/>
      <c r="C101" s="34"/>
      <c r="D101" s="34"/>
      <c r="E101" s="34"/>
      <c r="F101" s="34"/>
      <c r="G101" s="34"/>
      <c r="H101" s="34"/>
      <c r="I101" s="34"/>
      <c r="J101" s="34"/>
      <c r="K101" s="34"/>
      <c r="L101" s="34"/>
      <c r="M101" s="34"/>
      <c r="N101" s="34"/>
      <c r="O101" s="18">
        <v>50</v>
      </c>
      <c r="P101" s="17">
        <v>8585.5</v>
      </c>
    </row>
    <row r="102" spans="1:17" s="16" customFormat="1" ht="15" customHeight="1" outlineLevel="5" x14ac:dyDescent="0.2">
      <c r="A102" s="34" t="s">
        <v>16</v>
      </c>
      <c r="B102" s="34"/>
      <c r="C102" s="34"/>
      <c r="D102" s="34"/>
      <c r="E102" s="34"/>
      <c r="F102" s="34"/>
      <c r="G102" s="34"/>
      <c r="H102" s="34"/>
      <c r="I102" s="34"/>
      <c r="J102" s="34"/>
      <c r="K102" s="34"/>
      <c r="L102" s="34"/>
      <c r="M102" s="34"/>
      <c r="N102" s="34"/>
      <c r="O102" s="18">
        <v>875</v>
      </c>
      <c r="P102" s="17">
        <v>3347.75</v>
      </c>
    </row>
    <row r="103" spans="1:17" s="16" customFormat="1" ht="15" customHeight="1" outlineLevel="5" x14ac:dyDescent="0.2">
      <c r="A103" s="34" t="s">
        <v>39</v>
      </c>
      <c r="B103" s="34"/>
      <c r="C103" s="34"/>
      <c r="D103" s="34"/>
      <c r="E103" s="34"/>
      <c r="F103" s="34"/>
      <c r="G103" s="34"/>
      <c r="H103" s="34"/>
      <c r="I103" s="34"/>
      <c r="J103" s="34"/>
      <c r="K103" s="34"/>
      <c r="L103" s="34"/>
      <c r="M103" s="34"/>
      <c r="N103" s="34"/>
      <c r="O103" s="18">
        <v>925</v>
      </c>
      <c r="P103" s="17">
        <v>12126.75</v>
      </c>
    </row>
    <row r="104" spans="1:17" s="3" customFormat="1" ht="15" customHeight="1" x14ac:dyDescent="0.2">
      <c r="A104" s="30" t="s">
        <v>95</v>
      </c>
      <c r="B104" s="30"/>
      <c r="C104" s="30"/>
      <c r="D104" s="30"/>
      <c r="E104" s="30"/>
      <c r="F104" s="30"/>
      <c r="G104" s="30"/>
      <c r="H104" s="30"/>
      <c r="I104" s="30"/>
      <c r="J104" s="30"/>
      <c r="K104" s="30"/>
      <c r="L104" s="30"/>
      <c r="M104" s="30"/>
      <c r="N104" s="30"/>
      <c r="O104" s="4">
        <f>SUM(O105,O106,O107,O108,O111,O116,O117)</f>
        <v>38500</v>
      </c>
      <c r="P104" s="5">
        <f>SUM(P105,P106,P107,P108,P111,P116,P117)</f>
        <v>264220</v>
      </c>
    </row>
    <row r="105" spans="1:17" s="3" customFormat="1" ht="15" customHeight="1" outlineLevel="5" x14ac:dyDescent="0.25">
      <c r="A105" s="31" t="s">
        <v>96</v>
      </c>
      <c r="B105" s="31"/>
      <c r="C105" s="31"/>
      <c r="D105" s="31"/>
      <c r="E105" s="31"/>
      <c r="F105" s="31"/>
      <c r="G105" s="31"/>
      <c r="H105" s="31"/>
      <c r="I105" s="31"/>
      <c r="J105" s="31"/>
      <c r="K105" s="31"/>
      <c r="L105" s="31"/>
      <c r="M105" s="31"/>
      <c r="N105" s="31"/>
      <c r="O105" s="1">
        <v>2000</v>
      </c>
      <c r="P105" s="2">
        <v>6500</v>
      </c>
      <c r="Q105" s="19" t="s">
        <v>162</v>
      </c>
    </row>
    <row r="106" spans="1:17" s="3" customFormat="1" ht="15" customHeight="1" outlineLevel="5" x14ac:dyDescent="0.25">
      <c r="A106" s="31" t="s">
        <v>67</v>
      </c>
      <c r="B106" s="31"/>
      <c r="C106" s="31"/>
      <c r="D106" s="31"/>
      <c r="E106" s="31"/>
      <c r="F106" s="31"/>
      <c r="G106" s="31"/>
      <c r="H106" s="31"/>
      <c r="I106" s="31"/>
      <c r="J106" s="31"/>
      <c r="K106" s="31"/>
      <c r="L106" s="31"/>
      <c r="M106" s="31"/>
      <c r="N106" s="31"/>
      <c r="O106" s="1">
        <v>2000</v>
      </c>
      <c r="P106" s="2">
        <v>5600</v>
      </c>
      <c r="Q106" s="19" t="s">
        <v>163</v>
      </c>
    </row>
    <row r="107" spans="1:17" s="3" customFormat="1" ht="15" customHeight="1" outlineLevel="5" x14ac:dyDescent="0.25">
      <c r="A107" s="31" t="s">
        <v>94</v>
      </c>
      <c r="B107" s="31"/>
      <c r="C107" s="31"/>
      <c r="D107" s="31"/>
      <c r="E107" s="31"/>
      <c r="F107" s="31"/>
      <c r="G107" s="31"/>
      <c r="H107" s="31"/>
      <c r="I107" s="31"/>
      <c r="J107" s="31"/>
      <c r="K107" s="31"/>
      <c r="L107" s="31"/>
      <c r="M107" s="31"/>
      <c r="N107" s="31"/>
      <c r="O107" s="1">
        <v>2000</v>
      </c>
      <c r="P107" s="2">
        <v>5120</v>
      </c>
      <c r="Q107" s="19" t="s">
        <v>164</v>
      </c>
    </row>
    <row r="108" spans="1:17" s="3" customFormat="1" ht="15" customHeight="1" outlineLevel="5" x14ac:dyDescent="0.25">
      <c r="A108" s="31" t="s">
        <v>97</v>
      </c>
      <c r="B108" s="31"/>
      <c r="C108" s="31"/>
      <c r="D108" s="31"/>
      <c r="E108" s="31"/>
      <c r="F108" s="31"/>
      <c r="G108" s="31"/>
      <c r="H108" s="31"/>
      <c r="I108" s="31"/>
      <c r="J108" s="31"/>
      <c r="K108" s="31"/>
      <c r="L108" s="31"/>
      <c r="M108" s="31"/>
      <c r="N108" s="31"/>
      <c r="O108" s="1">
        <v>10500</v>
      </c>
      <c r="P108" s="2">
        <v>34020</v>
      </c>
      <c r="Q108" s="19"/>
    </row>
    <row r="109" spans="1:17" s="3" customFormat="1" ht="15" customHeight="1" outlineLevel="5" x14ac:dyDescent="0.25">
      <c r="A109" s="35" t="s">
        <v>171</v>
      </c>
      <c r="B109" s="35"/>
      <c r="C109" s="35"/>
      <c r="D109" s="35"/>
      <c r="E109" s="35"/>
      <c r="F109" s="35"/>
      <c r="G109" s="35"/>
      <c r="H109" s="35"/>
      <c r="I109" s="35"/>
      <c r="J109" s="35"/>
      <c r="K109" s="35"/>
      <c r="L109" s="35"/>
      <c r="M109" s="35"/>
      <c r="N109" s="35"/>
      <c r="O109" s="1">
        <v>5500</v>
      </c>
      <c r="P109" s="2">
        <v>17820</v>
      </c>
      <c r="Q109" s="19"/>
    </row>
    <row r="110" spans="1:17" s="3" customFormat="1" ht="15" customHeight="1" outlineLevel="5" x14ac:dyDescent="0.25">
      <c r="A110" s="35" t="s">
        <v>165</v>
      </c>
      <c r="B110" s="35"/>
      <c r="C110" s="35"/>
      <c r="D110" s="35"/>
      <c r="E110" s="35"/>
      <c r="F110" s="35"/>
      <c r="G110" s="35"/>
      <c r="H110" s="35"/>
      <c r="I110" s="35"/>
      <c r="J110" s="35"/>
      <c r="K110" s="35"/>
      <c r="L110" s="35"/>
      <c r="M110" s="35"/>
      <c r="N110" s="35"/>
      <c r="O110" s="1">
        <v>5000</v>
      </c>
      <c r="P110" s="2">
        <v>16200</v>
      </c>
      <c r="Q110" s="19"/>
    </row>
    <row r="111" spans="1:17" s="3" customFormat="1" ht="15" customHeight="1" outlineLevel="4" x14ac:dyDescent="0.25">
      <c r="A111" s="32" t="s">
        <v>31</v>
      </c>
      <c r="B111" s="32"/>
      <c r="C111" s="32"/>
      <c r="D111" s="32"/>
      <c r="E111" s="32"/>
      <c r="F111" s="32"/>
      <c r="G111" s="32"/>
      <c r="H111" s="32"/>
      <c r="I111" s="32"/>
      <c r="J111" s="32"/>
      <c r="K111" s="32"/>
      <c r="L111" s="32"/>
      <c r="M111" s="32"/>
      <c r="N111" s="32"/>
      <c r="O111" s="1">
        <v>17500</v>
      </c>
      <c r="P111" s="2">
        <v>144975</v>
      </c>
      <c r="Q111" s="19"/>
    </row>
    <row r="112" spans="1:17" s="3" customFormat="1" ht="15" customHeight="1" outlineLevel="4" x14ac:dyDescent="0.25">
      <c r="A112" s="35" t="s">
        <v>171</v>
      </c>
      <c r="B112" s="35"/>
      <c r="C112" s="35"/>
      <c r="D112" s="35"/>
      <c r="E112" s="35"/>
      <c r="F112" s="35"/>
      <c r="G112" s="35"/>
      <c r="H112" s="35"/>
      <c r="I112" s="35"/>
      <c r="J112" s="35"/>
      <c r="K112" s="35"/>
      <c r="L112" s="35"/>
      <c r="M112" s="35"/>
      <c r="N112" s="35"/>
      <c r="O112" s="1">
        <v>1500</v>
      </c>
      <c r="P112" s="2">
        <v>12975</v>
      </c>
      <c r="Q112" s="19"/>
    </row>
    <row r="113" spans="1:17" s="3" customFormat="1" ht="15" customHeight="1" outlineLevel="4" x14ac:dyDescent="0.25">
      <c r="A113" s="35" t="s">
        <v>166</v>
      </c>
      <c r="B113" s="35"/>
      <c r="C113" s="35"/>
      <c r="D113" s="35"/>
      <c r="E113" s="35"/>
      <c r="F113" s="35"/>
      <c r="G113" s="35"/>
      <c r="H113" s="35"/>
      <c r="I113" s="35"/>
      <c r="J113" s="35"/>
      <c r="K113" s="35"/>
      <c r="L113" s="35"/>
      <c r="M113" s="35"/>
      <c r="N113" s="35"/>
      <c r="O113" s="1">
        <v>4000</v>
      </c>
      <c r="P113" s="2">
        <v>33000</v>
      </c>
      <c r="Q113" s="19"/>
    </row>
    <row r="114" spans="1:17" s="3" customFormat="1" ht="15" customHeight="1" outlineLevel="4" x14ac:dyDescent="0.25">
      <c r="A114" s="35" t="s">
        <v>167</v>
      </c>
      <c r="B114" s="35"/>
      <c r="C114" s="35"/>
      <c r="D114" s="35"/>
      <c r="E114" s="35"/>
      <c r="F114" s="35"/>
      <c r="G114" s="35"/>
      <c r="H114" s="35"/>
      <c r="I114" s="35"/>
      <c r="J114" s="35"/>
      <c r="K114" s="35"/>
      <c r="L114" s="35"/>
      <c r="M114" s="35"/>
      <c r="N114" s="35"/>
      <c r="O114" s="1">
        <v>10000</v>
      </c>
      <c r="P114" s="2">
        <v>82500</v>
      </c>
      <c r="Q114" s="19"/>
    </row>
    <row r="115" spans="1:17" s="3" customFormat="1" ht="15" customHeight="1" outlineLevel="4" x14ac:dyDescent="0.25">
      <c r="A115" s="35" t="s">
        <v>170</v>
      </c>
      <c r="B115" s="35"/>
      <c r="C115" s="35"/>
      <c r="D115" s="35"/>
      <c r="E115" s="35"/>
      <c r="F115" s="35"/>
      <c r="G115" s="35"/>
      <c r="H115" s="35"/>
      <c r="I115" s="35"/>
      <c r="J115" s="35"/>
      <c r="K115" s="35"/>
      <c r="L115" s="35"/>
      <c r="M115" s="35"/>
      <c r="N115" s="35"/>
      <c r="O115" s="1">
        <v>2000</v>
      </c>
      <c r="P115" s="2">
        <v>16500</v>
      </c>
      <c r="Q115" s="19"/>
    </row>
    <row r="116" spans="1:17" s="3" customFormat="1" ht="15" customHeight="1" outlineLevel="4" x14ac:dyDescent="0.25">
      <c r="A116" s="32" t="s">
        <v>32</v>
      </c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1">
        <v>500</v>
      </c>
      <c r="P116" s="2">
        <v>5085</v>
      </c>
      <c r="Q116" s="19" t="s">
        <v>168</v>
      </c>
    </row>
    <row r="117" spans="1:17" s="3" customFormat="1" ht="15" customHeight="1" outlineLevel="5" x14ac:dyDescent="0.2">
      <c r="A117" s="32" t="s">
        <v>39</v>
      </c>
      <c r="B117" s="32"/>
      <c r="C117" s="32"/>
      <c r="D117" s="32"/>
      <c r="E117" s="32"/>
      <c r="F117" s="32"/>
      <c r="G117" s="32"/>
      <c r="H117" s="32"/>
      <c r="I117" s="32"/>
      <c r="J117" s="32"/>
      <c r="K117" s="32"/>
      <c r="L117" s="32"/>
      <c r="M117" s="32"/>
      <c r="N117" s="32"/>
      <c r="O117" s="1">
        <v>4000</v>
      </c>
      <c r="P117" s="2">
        <v>62920</v>
      </c>
    </row>
    <row r="118" spans="1:17" s="3" customFormat="1" ht="15" customHeight="1" outlineLevel="5" x14ac:dyDescent="0.2">
      <c r="A118" s="35" t="s">
        <v>166</v>
      </c>
      <c r="B118" s="35"/>
      <c r="C118" s="35"/>
      <c r="D118" s="35"/>
      <c r="E118" s="35"/>
      <c r="F118" s="35"/>
      <c r="G118" s="35"/>
      <c r="H118" s="35"/>
      <c r="I118" s="35"/>
      <c r="J118" s="35"/>
      <c r="K118" s="35"/>
      <c r="L118" s="35"/>
      <c r="M118" s="35"/>
      <c r="N118" s="35"/>
      <c r="O118" s="1">
        <v>400</v>
      </c>
      <c r="P118" s="2">
        <v>6292</v>
      </c>
    </row>
    <row r="119" spans="1:17" s="3" customFormat="1" ht="15" customHeight="1" outlineLevel="5" x14ac:dyDescent="0.2">
      <c r="A119" s="35" t="s">
        <v>167</v>
      </c>
      <c r="B119" s="35"/>
      <c r="C119" s="35"/>
      <c r="D119" s="35"/>
      <c r="E119" s="35"/>
      <c r="F119" s="35"/>
      <c r="G119" s="35"/>
      <c r="H119" s="35"/>
      <c r="I119" s="35"/>
      <c r="J119" s="35"/>
      <c r="K119" s="35"/>
      <c r="L119" s="35"/>
      <c r="M119" s="35"/>
      <c r="N119" s="35"/>
      <c r="O119" s="1">
        <v>1100</v>
      </c>
      <c r="P119" s="2">
        <v>17303</v>
      </c>
    </row>
    <row r="120" spans="1:17" s="3" customFormat="1" ht="15" customHeight="1" outlineLevel="5" x14ac:dyDescent="0.2">
      <c r="A120" s="35" t="s">
        <v>169</v>
      </c>
      <c r="B120" s="35"/>
      <c r="C120" s="35"/>
      <c r="D120" s="35"/>
      <c r="E120" s="35"/>
      <c r="F120" s="35"/>
      <c r="G120" s="35"/>
      <c r="H120" s="35"/>
      <c r="I120" s="35"/>
      <c r="J120" s="35"/>
      <c r="K120" s="35"/>
      <c r="L120" s="35"/>
      <c r="M120" s="35"/>
      <c r="N120" s="35"/>
      <c r="O120" s="1">
        <v>1200</v>
      </c>
      <c r="P120" s="2">
        <v>18876</v>
      </c>
    </row>
    <row r="121" spans="1:17" s="3" customFormat="1" ht="15" customHeight="1" outlineLevel="5" x14ac:dyDescent="0.2">
      <c r="A121" s="35" t="s">
        <v>172</v>
      </c>
      <c r="B121" s="35"/>
      <c r="C121" s="35"/>
      <c r="D121" s="35"/>
      <c r="E121" s="35"/>
      <c r="F121" s="35"/>
      <c r="G121" s="35"/>
      <c r="H121" s="35"/>
      <c r="I121" s="35"/>
      <c r="J121" s="35"/>
      <c r="K121" s="35"/>
      <c r="L121" s="35"/>
      <c r="M121" s="35"/>
      <c r="N121" s="35"/>
      <c r="O121" s="1">
        <v>1300</v>
      </c>
      <c r="P121" s="2">
        <v>20449</v>
      </c>
    </row>
    <row r="122" spans="1:17" ht="15" customHeight="1" x14ac:dyDescent="0.2">
      <c r="A122" s="30" t="s">
        <v>98</v>
      </c>
      <c r="B122" s="30"/>
      <c r="C122" s="30"/>
      <c r="D122" s="30"/>
      <c r="E122" s="30"/>
      <c r="F122" s="30"/>
      <c r="G122" s="30"/>
      <c r="H122" s="30"/>
      <c r="I122" s="30"/>
      <c r="J122" s="30"/>
      <c r="K122" s="30"/>
      <c r="L122" s="30"/>
      <c r="M122" s="30"/>
      <c r="N122" s="30"/>
      <c r="O122" s="4">
        <v>17000</v>
      </c>
      <c r="P122" s="5">
        <v>49860</v>
      </c>
    </row>
    <row r="123" spans="1:17" s="3" customFormat="1" ht="15" customHeight="1" outlineLevel="5" x14ac:dyDescent="0.2">
      <c r="A123" s="31" t="s">
        <v>83</v>
      </c>
      <c r="B123" s="31"/>
      <c r="C123" s="31"/>
      <c r="D123" s="31"/>
      <c r="E123" s="31"/>
      <c r="F123" s="31"/>
      <c r="G123" s="31"/>
      <c r="H123" s="31"/>
      <c r="I123" s="31"/>
      <c r="J123" s="31"/>
      <c r="K123" s="31"/>
      <c r="L123" s="31"/>
      <c r="M123" s="31"/>
      <c r="N123" s="31"/>
      <c r="O123" s="1">
        <v>4000</v>
      </c>
      <c r="P123" s="2">
        <v>15800</v>
      </c>
    </row>
    <row r="124" spans="1:17" s="13" customFormat="1" ht="15" customHeight="1" outlineLevel="5" x14ac:dyDescent="0.2">
      <c r="A124" s="31" t="s">
        <v>67</v>
      </c>
      <c r="B124" s="31"/>
      <c r="C124" s="31"/>
      <c r="D124" s="31"/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1">
        <v>12375</v>
      </c>
      <c r="P124" s="2">
        <v>32422.5</v>
      </c>
    </row>
    <row r="125" spans="1:17" s="13" customFormat="1" ht="15" customHeight="1" outlineLevel="5" x14ac:dyDescent="0.2">
      <c r="A125" s="31" t="s">
        <v>99</v>
      </c>
      <c r="B125" s="31"/>
      <c r="C125" s="31"/>
      <c r="D125" s="31"/>
      <c r="E125" s="31"/>
      <c r="F125" s="31"/>
      <c r="G125" s="31"/>
      <c r="H125" s="31"/>
      <c r="I125" s="31"/>
      <c r="J125" s="31"/>
      <c r="K125" s="31"/>
      <c r="L125" s="31"/>
      <c r="M125" s="31"/>
      <c r="N125" s="31"/>
      <c r="O125" s="6">
        <v>625</v>
      </c>
      <c r="P125" s="2">
        <v>1637.5</v>
      </c>
    </row>
    <row r="126" spans="1:17" s="3" customFormat="1" ht="15" customHeight="1" x14ac:dyDescent="0.2">
      <c r="A126" s="30" t="s">
        <v>100</v>
      </c>
      <c r="B126" s="30"/>
      <c r="C126" s="30"/>
      <c r="D126" s="30"/>
      <c r="E126" s="30"/>
      <c r="F126" s="30"/>
      <c r="G126" s="30"/>
      <c r="H126" s="30"/>
      <c r="I126" s="30"/>
      <c r="J126" s="30"/>
      <c r="K126" s="30"/>
      <c r="L126" s="30"/>
      <c r="M126" s="30"/>
      <c r="N126" s="30"/>
      <c r="O126" s="4">
        <v>11100</v>
      </c>
      <c r="P126" s="5">
        <v>37495</v>
      </c>
    </row>
    <row r="127" spans="1:17" s="3" customFormat="1" ht="15" customHeight="1" outlineLevel="5" x14ac:dyDescent="0.2">
      <c r="A127" s="31" t="s">
        <v>25</v>
      </c>
      <c r="B127" s="31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6">
        <v>600</v>
      </c>
      <c r="P127" s="2">
        <v>2100</v>
      </c>
    </row>
    <row r="128" spans="1:17" s="3" customFormat="1" ht="15" customHeight="1" outlineLevel="5" x14ac:dyDescent="0.2">
      <c r="A128" s="31" t="s">
        <v>101</v>
      </c>
      <c r="B128" s="31"/>
      <c r="C128" s="31"/>
      <c r="D128" s="31"/>
      <c r="E128" s="31"/>
      <c r="F128" s="31"/>
      <c r="G128" s="31"/>
      <c r="H128" s="31"/>
      <c r="I128" s="31"/>
      <c r="J128" s="31"/>
      <c r="K128" s="31"/>
      <c r="L128" s="31"/>
      <c r="M128" s="31"/>
      <c r="N128" s="31"/>
      <c r="O128" s="1">
        <v>3500</v>
      </c>
      <c r="P128" s="2">
        <v>12075</v>
      </c>
    </row>
    <row r="129" spans="1:16" s="3" customFormat="1" ht="15" customHeight="1" outlineLevel="5" x14ac:dyDescent="0.2">
      <c r="A129" s="31" t="s">
        <v>93</v>
      </c>
      <c r="B129" s="31"/>
      <c r="C129" s="31"/>
      <c r="D129" s="31"/>
      <c r="E129" s="31"/>
      <c r="F129" s="31"/>
      <c r="G129" s="31"/>
      <c r="H129" s="31"/>
      <c r="I129" s="31"/>
      <c r="J129" s="31"/>
      <c r="K129" s="31"/>
      <c r="L129" s="31"/>
      <c r="M129" s="31"/>
      <c r="N129" s="31"/>
      <c r="O129" s="6">
        <v>500</v>
      </c>
      <c r="P129" s="2">
        <v>3365</v>
      </c>
    </row>
    <row r="130" spans="1:16" s="3" customFormat="1" ht="15" customHeight="1" outlineLevel="5" x14ac:dyDescent="0.2">
      <c r="A130" s="31" t="s">
        <v>102</v>
      </c>
      <c r="B130" s="31"/>
      <c r="C130" s="31"/>
      <c r="D130" s="31"/>
      <c r="E130" s="31"/>
      <c r="F130" s="31"/>
      <c r="G130" s="31"/>
      <c r="H130" s="31"/>
      <c r="I130" s="31"/>
      <c r="J130" s="31"/>
      <c r="K130" s="31"/>
      <c r="L130" s="31"/>
      <c r="M130" s="31"/>
      <c r="N130" s="31"/>
      <c r="O130" s="1">
        <v>1000</v>
      </c>
      <c r="P130" s="2">
        <v>2980</v>
      </c>
    </row>
    <row r="131" spans="1:16" s="13" customFormat="1" ht="15" customHeight="1" outlineLevel="5" x14ac:dyDescent="0.2">
      <c r="A131" s="31" t="s">
        <v>99</v>
      </c>
      <c r="B131" s="31"/>
      <c r="C131" s="31"/>
      <c r="D131" s="31"/>
      <c r="E131" s="31"/>
      <c r="F131" s="31"/>
      <c r="G131" s="31"/>
      <c r="H131" s="31"/>
      <c r="I131" s="31"/>
      <c r="J131" s="31"/>
      <c r="K131" s="31"/>
      <c r="L131" s="31"/>
      <c r="M131" s="31"/>
      <c r="N131" s="31"/>
      <c r="O131" s="1">
        <v>2000</v>
      </c>
      <c r="P131" s="2">
        <v>5600</v>
      </c>
    </row>
    <row r="132" spans="1:16" s="3" customFormat="1" ht="15" customHeight="1" outlineLevel="5" x14ac:dyDescent="0.2">
      <c r="A132" s="31" t="s">
        <v>103</v>
      </c>
      <c r="B132" s="31"/>
      <c r="C132" s="31"/>
      <c r="D132" s="31"/>
      <c r="E132" s="31"/>
      <c r="F132" s="31"/>
      <c r="G132" s="31"/>
      <c r="H132" s="31"/>
      <c r="I132" s="31"/>
      <c r="J132" s="31"/>
      <c r="K132" s="31"/>
      <c r="L132" s="31"/>
      <c r="M132" s="31"/>
      <c r="N132" s="31"/>
      <c r="O132" s="1">
        <v>3500</v>
      </c>
      <c r="P132" s="2">
        <v>11375</v>
      </c>
    </row>
    <row r="133" spans="1:16" s="3" customFormat="1" ht="15" customHeight="1" x14ac:dyDescent="0.2">
      <c r="A133" s="30" t="s">
        <v>104</v>
      </c>
      <c r="B133" s="30"/>
      <c r="C133" s="30"/>
      <c r="D133" s="30"/>
      <c r="E133" s="30"/>
      <c r="F133" s="30"/>
      <c r="G133" s="30"/>
      <c r="H133" s="30"/>
      <c r="I133" s="30"/>
      <c r="J133" s="30"/>
      <c r="K133" s="30"/>
      <c r="L133" s="30"/>
      <c r="M133" s="30"/>
      <c r="N133" s="30"/>
      <c r="O133" s="7">
        <v>700</v>
      </c>
      <c r="P133" s="5">
        <v>5537</v>
      </c>
    </row>
    <row r="134" spans="1:16" s="3" customFormat="1" ht="15" customHeight="1" outlineLevel="4" x14ac:dyDescent="0.2">
      <c r="A134" s="32" t="s">
        <v>79</v>
      </c>
      <c r="B134" s="32"/>
      <c r="C134" s="32"/>
      <c r="D134" s="32"/>
      <c r="E134" s="32"/>
      <c r="F134" s="32"/>
      <c r="G134" s="32"/>
      <c r="H134" s="32"/>
      <c r="I134" s="32"/>
      <c r="J134" s="32"/>
      <c r="K134" s="32"/>
      <c r="L134" s="32"/>
      <c r="M134" s="32"/>
      <c r="N134" s="32"/>
      <c r="O134" s="6">
        <v>700</v>
      </c>
      <c r="P134" s="2">
        <v>5537</v>
      </c>
    </row>
    <row r="135" spans="1:16" s="3" customFormat="1" ht="15" customHeight="1" x14ac:dyDescent="0.2">
      <c r="A135" s="30" t="s">
        <v>105</v>
      </c>
      <c r="B135" s="30"/>
      <c r="C135" s="30"/>
      <c r="D135" s="30"/>
      <c r="E135" s="30"/>
      <c r="F135" s="30"/>
      <c r="G135" s="30"/>
      <c r="H135" s="30"/>
      <c r="I135" s="30"/>
      <c r="J135" s="30"/>
      <c r="K135" s="30"/>
      <c r="L135" s="30"/>
      <c r="M135" s="30"/>
      <c r="N135" s="30"/>
      <c r="O135" s="7">
        <v>75</v>
      </c>
      <c r="P135" s="5">
        <v>12878.25</v>
      </c>
    </row>
    <row r="136" spans="1:16" s="3" customFormat="1" ht="15" customHeight="1" outlineLevel="4" x14ac:dyDescent="0.2">
      <c r="A136" s="32" t="s">
        <v>29</v>
      </c>
      <c r="B136" s="32"/>
      <c r="C136" s="32"/>
      <c r="D136" s="32"/>
      <c r="E136" s="32"/>
      <c r="F136" s="32"/>
      <c r="G136" s="32"/>
      <c r="H136" s="32"/>
      <c r="I136" s="32"/>
      <c r="J136" s="32"/>
      <c r="K136" s="32"/>
      <c r="L136" s="32"/>
      <c r="M136" s="32"/>
      <c r="N136" s="32"/>
      <c r="O136" s="6">
        <v>75</v>
      </c>
      <c r="P136" s="2">
        <v>12878.25</v>
      </c>
    </row>
    <row r="137" spans="1:16" s="3" customFormat="1" ht="15" customHeight="1" x14ac:dyDescent="0.2">
      <c r="A137" s="30" t="s">
        <v>106</v>
      </c>
      <c r="B137" s="30"/>
      <c r="C137" s="30"/>
      <c r="D137" s="30"/>
      <c r="E137" s="30"/>
      <c r="F137" s="30"/>
      <c r="G137" s="30"/>
      <c r="H137" s="30"/>
      <c r="I137" s="30"/>
      <c r="J137" s="30"/>
      <c r="K137" s="30"/>
      <c r="L137" s="30"/>
      <c r="M137" s="30"/>
      <c r="N137" s="30"/>
      <c r="O137" s="4">
        <v>6000</v>
      </c>
      <c r="P137" s="5">
        <v>16800</v>
      </c>
    </row>
    <row r="138" spans="1:16" s="13" customFormat="1" ht="15" customHeight="1" outlineLevel="5" x14ac:dyDescent="0.2">
      <c r="A138" s="31" t="s">
        <v>67</v>
      </c>
      <c r="B138" s="31"/>
      <c r="C138" s="31"/>
      <c r="D138" s="31"/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1">
        <v>6000</v>
      </c>
      <c r="P138" s="2">
        <v>16800</v>
      </c>
    </row>
    <row r="139" spans="1:16" s="3" customFormat="1" ht="15" customHeight="1" x14ac:dyDescent="0.2">
      <c r="A139" s="30" t="s">
        <v>107</v>
      </c>
      <c r="B139" s="30"/>
      <c r="C139" s="30"/>
      <c r="D139" s="30"/>
      <c r="E139" s="30"/>
      <c r="F139" s="30"/>
      <c r="G139" s="30"/>
      <c r="H139" s="30"/>
      <c r="I139" s="30"/>
      <c r="J139" s="30"/>
      <c r="K139" s="30"/>
      <c r="L139" s="30"/>
      <c r="M139" s="30"/>
      <c r="N139" s="30"/>
      <c r="O139" s="4">
        <v>3500</v>
      </c>
      <c r="P139" s="5">
        <v>27300</v>
      </c>
    </row>
    <row r="140" spans="1:16" s="3" customFormat="1" ht="15" customHeight="1" outlineLevel="4" x14ac:dyDescent="0.2">
      <c r="A140" s="32" t="s">
        <v>31</v>
      </c>
      <c r="B140" s="32"/>
      <c r="C140" s="32"/>
      <c r="D140" s="32"/>
      <c r="E140" s="32"/>
      <c r="F140" s="32"/>
      <c r="G140" s="32"/>
      <c r="H140" s="32"/>
      <c r="I140" s="32"/>
      <c r="J140" s="32"/>
      <c r="K140" s="32"/>
      <c r="L140" s="32"/>
      <c r="M140" s="32"/>
      <c r="N140" s="32"/>
      <c r="O140" s="1">
        <v>3500</v>
      </c>
      <c r="P140" s="2">
        <v>27300</v>
      </c>
    </row>
    <row r="141" spans="1:16" s="3" customFormat="1" ht="15" customHeight="1" x14ac:dyDescent="0.2">
      <c r="A141" s="30" t="s">
        <v>108</v>
      </c>
      <c r="B141" s="30"/>
      <c r="C141" s="30"/>
      <c r="D141" s="30"/>
      <c r="E141" s="30"/>
      <c r="F141" s="30"/>
      <c r="G141" s="30"/>
      <c r="H141" s="30"/>
      <c r="I141" s="30"/>
      <c r="J141" s="30"/>
      <c r="K141" s="30"/>
      <c r="L141" s="30"/>
      <c r="M141" s="30"/>
      <c r="N141" s="30"/>
      <c r="O141" s="4">
        <v>4000</v>
      </c>
      <c r="P141" s="5">
        <v>30400</v>
      </c>
    </row>
    <row r="142" spans="1:16" s="3" customFormat="1" ht="15" customHeight="1" outlineLevel="4" x14ac:dyDescent="0.2">
      <c r="A142" s="32" t="s">
        <v>31</v>
      </c>
      <c r="B142" s="32"/>
      <c r="C142" s="32"/>
      <c r="D142" s="32"/>
      <c r="E142" s="32"/>
      <c r="F142" s="32"/>
      <c r="G142" s="32"/>
      <c r="H142" s="32"/>
      <c r="I142" s="32"/>
      <c r="J142" s="32"/>
      <c r="K142" s="32"/>
      <c r="L142" s="32"/>
      <c r="M142" s="32"/>
      <c r="N142" s="32"/>
      <c r="O142" s="1">
        <v>4000</v>
      </c>
      <c r="P142" s="2">
        <v>30400</v>
      </c>
    </row>
    <row r="143" spans="1:16" s="3" customFormat="1" ht="15" customHeight="1" x14ac:dyDescent="0.2">
      <c r="A143" s="30" t="s">
        <v>109</v>
      </c>
      <c r="B143" s="30"/>
      <c r="C143" s="30"/>
      <c r="D143" s="30"/>
      <c r="E143" s="30"/>
      <c r="F143" s="30"/>
      <c r="G143" s="30"/>
      <c r="H143" s="30"/>
      <c r="I143" s="30"/>
      <c r="J143" s="30"/>
      <c r="K143" s="30"/>
      <c r="L143" s="30"/>
      <c r="M143" s="30"/>
      <c r="N143" s="30"/>
      <c r="O143" s="4">
        <v>4000</v>
      </c>
      <c r="P143" s="5">
        <v>18060</v>
      </c>
    </row>
    <row r="144" spans="1:16" s="3" customFormat="1" ht="15" customHeight="1" outlineLevel="5" x14ac:dyDescent="0.2">
      <c r="A144" s="31" t="s">
        <v>84</v>
      </c>
      <c r="B144" s="31"/>
      <c r="C144" s="31"/>
      <c r="D144" s="31"/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1">
        <v>2000</v>
      </c>
      <c r="P144" s="2">
        <v>11060</v>
      </c>
    </row>
    <row r="145" spans="1:16" s="3" customFormat="1" ht="15" customHeight="1" outlineLevel="5" x14ac:dyDescent="0.2">
      <c r="A145" s="31" t="s">
        <v>25</v>
      </c>
      <c r="B145" s="31"/>
      <c r="C145" s="31"/>
      <c r="D145" s="31"/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1">
        <v>2000</v>
      </c>
      <c r="P145" s="2">
        <v>7000</v>
      </c>
    </row>
    <row r="146" spans="1:16" s="3" customFormat="1" ht="15" customHeight="1" x14ac:dyDescent="0.2">
      <c r="A146" s="30" t="s">
        <v>110</v>
      </c>
      <c r="B146" s="30"/>
      <c r="C146" s="30"/>
      <c r="D146" s="30"/>
      <c r="E146" s="30"/>
      <c r="F146" s="30"/>
      <c r="G146" s="30"/>
      <c r="H146" s="30"/>
      <c r="I146" s="30"/>
      <c r="J146" s="30"/>
      <c r="K146" s="30"/>
      <c r="L146" s="30"/>
      <c r="M146" s="30"/>
      <c r="N146" s="30"/>
      <c r="O146" s="4">
        <v>6900</v>
      </c>
      <c r="P146" s="5">
        <v>39125</v>
      </c>
    </row>
    <row r="147" spans="1:16" s="3" customFormat="1" ht="15" customHeight="1" outlineLevel="5" x14ac:dyDescent="0.2">
      <c r="A147" s="31" t="s">
        <v>25</v>
      </c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1">
        <v>1000</v>
      </c>
      <c r="P147" s="2">
        <v>3500</v>
      </c>
    </row>
    <row r="148" spans="1:16" s="3" customFormat="1" ht="15" customHeight="1" outlineLevel="5" x14ac:dyDescent="0.2">
      <c r="A148" s="31" t="s">
        <v>111</v>
      </c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1">
        <v>5000</v>
      </c>
      <c r="P148" s="2">
        <v>19800</v>
      </c>
    </row>
    <row r="149" spans="1:16" s="3" customFormat="1" ht="15" customHeight="1" outlineLevel="5" x14ac:dyDescent="0.2">
      <c r="A149" s="31" t="s">
        <v>161</v>
      </c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1">
        <v>500</v>
      </c>
      <c r="P149" s="2">
        <v>12345</v>
      </c>
    </row>
    <row r="150" spans="1:16" s="3" customFormat="1" ht="15" customHeight="1" outlineLevel="4" x14ac:dyDescent="0.2">
      <c r="A150" s="32" t="s">
        <v>32</v>
      </c>
      <c r="B150" s="32"/>
      <c r="C150" s="32"/>
      <c r="D150" s="32"/>
      <c r="E150" s="32"/>
      <c r="F150" s="32"/>
      <c r="G150" s="32"/>
      <c r="H150" s="32"/>
      <c r="I150" s="32"/>
      <c r="J150" s="32"/>
      <c r="K150" s="32"/>
      <c r="L150" s="32"/>
      <c r="M150" s="32"/>
      <c r="N150" s="32"/>
      <c r="O150" s="6">
        <v>400</v>
      </c>
      <c r="P150" s="2">
        <v>3480</v>
      </c>
    </row>
    <row r="151" spans="1:16" s="3" customFormat="1" ht="15" customHeight="1" x14ac:dyDescent="0.2">
      <c r="A151" s="30" t="s">
        <v>112</v>
      </c>
      <c r="B151" s="30"/>
      <c r="C151" s="30"/>
      <c r="D151" s="30"/>
      <c r="E151" s="30"/>
      <c r="F151" s="30"/>
      <c r="G151" s="30"/>
      <c r="H151" s="30"/>
      <c r="I151" s="30"/>
      <c r="J151" s="30"/>
      <c r="K151" s="30"/>
      <c r="L151" s="30"/>
      <c r="M151" s="30"/>
      <c r="N151" s="30"/>
      <c r="O151" s="4">
        <v>2000</v>
      </c>
      <c r="P151" s="5">
        <v>3360</v>
      </c>
    </row>
    <row r="152" spans="1:16" s="3" customFormat="1" ht="15" customHeight="1" outlineLevel="6" x14ac:dyDescent="0.2">
      <c r="A152" s="33" t="s">
        <v>41</v>
      </c>
      <c r="B152" s="33"/>
      <c r="C152" s="33"/>
      <c r="D152" s="33"/>
      <c r="E152" s="33"/>
      <c r="F152" s="33"/>
      <c r="G152" s="33"/>
      <c r="H152" s="33"/>
      <c r="I152" s="33"/>
      <c r="J152" s="33"/>
      <c r="K152" s="33"/>
      <c r="L152" s="33"/>
      <c r="M152" s="33"/>
      <c r="N152" s="33"/>
      <c r="O152" s="1">
        <v>2000</v>
      </c>
      <c r="P152" s="2">
        <v>3360</v>
      </c>
    </row>
    <row r="153" spans="1:16" s="3" customFormat="1" ht="15" customHeight="1" x14ac:dyDescent="0.2">
      <c r="A153" s="30" t="s">
        <v>113</v>
      </c>
      <c r="B153" s="30"/>
      <c r="C153" s="30"/>
      <c r="D153" s="30"/>
      <c r="E153" s="30"/>
      <c r="F153" s="30"/>
      <c r="G153" s="30"/>
      <c r="H153" s="30"/>
      <c r="I153" s="30"/>
      <c r="J153" s="30"/>
      <c r="K153" s="30"/>
      <c r="L153" s="30"/>
      <c r="M153" s="30"/>
      <c r="N153" s="30"/>
      <c r="O153" s="4">
        <v>5500</v>
      </c>
      <c r="P153" s="5">
        <v>48210</v>
      </c>
    </row>
    <row r="154" spans="1:16" s="3" customFormat="1" ht="15" customHeight="1" outlineLevel="4" x14ac:dyDescent="0.2">
      <c r="A154" s="32" t="s">
        <v>31</v>
      </c>
      <c r="B154" s="32"/>
      <c r="C154" s="32"/>
      <c r="D154" s="32"/>
      <c r="E154" s="32"/>
      <c r="F154" s="32"/>
      <c r="G154" s="32"/>
      <c r="H154" s="32"/>
      <c r="I154" s="32"/>
      <c r="J154" s="32"/>
      <c r="K154" s="32"/>
      <c r="L154" s="32"/>
      <c r="M154" s="32"/>
      <c r="N154" s="32"/>
      <c r="O154" s="1">
        <v>4500</v>
      </c>
      <c r="P154" s="2">
        <v>35100</v>
      </c>
    </row>
    <row r="155" spans="1:16" s="3" customFormat="1" ht="15" customHeight="1" outlineLevel="5" x14ac:dyDescent="0.2">
      <c r="A155" s="31" t="s">
        <v>39</v>
      </c>
      <c r="B155" s="31"/>
      <c r="C155" s="31"/>
      <c r="D155" s="31"/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1">
        <v>1000</v>
      </c>
      <c r="P155" s="2">
        <v>13110</v>
      </c>
    </row>
    <row r="156" spans="1:16" s="3" customFormat="1" ht="15" customHeight="1" x14ac:dyDescent="0.2">
      <c r="A156" s="30" t="s">
        <v>114</v>
      </c>
      <c r="B156" s="30"/>
      <c r="C156" s="30"/>
      <c r="D156" s="30"/>
      <c r="E156" s="30"/>
      <c r="F156" s="30"/>
      <c r="G156" s="30"/>
      <c r="H156" s="30"/>
      <c r="I156" s="30"/>
      <c r="J156" s="30"/>
      <c r="K156" s="30"/>
      <c r="L156" s="30"/>
      <c r="M156" s="30"/>
      <c r="N156" s="30"/>
      <c r="O156" s="4">
        <v>4000</v>
      </c>
      <c r="P156" s="5">
        <v>31200</v>
      </c>
    </row>
    <row r="157" spans="1:16" s="3" customFormat="1" ht="15" customHeight="1" outlineLevel="4" x14ac:dyDescent="0.2">
      <c r="A157" s="32" t="s">
        <v>31</v>
      </c>
      <c r="B157" s="32"/>
      <c r="C157" s="32"/>
      <c r="D157" s="32"/>
      <c r="E157" s="32"/>
      <c r="F157" s="32"/>
      <c r="G157" s="32"/>
      <c r="H157" s="32"/>
      <c r="I157" s="32"/>
      <c r="J157" s="32"/>
      <c r="K157" s="32"/>
      <c r="L157" s="32"/>
      <c r="M157" s="32"/>
      <c r="N157" s="32"/>
      <c r="O157" s="1">
        <v>4000</v>
      </c>
      <c r="P157" s="2">
        <v>31200</v>
      </c>
    </row>
    <row r="158" spans="1:16" s="3" customFormat="1" ht="15" customHeight="1" x14ac:dyDescent="0.2">
      <c r="A158" s="30" t="s">
        <v>115</v>
      </c>
      <c r="B158" s="30"/>
      <c r="C158" s="30"/>
      <c r="D158" s="30"/>
      <c r="E158" s="30"/>
      <c r="F158" s="30"/>
      <c r="G158" s="30"/>
      <c r="H158" s="30"/>
      <c r="I158" s="30"/>
      <c r="J158" s="30"/>
      <c r="K158" s="30"/>
      <c r="L158" s="30"/>
      <c r="M158" s="30"/>
      <c r="N158" s="30"/>
      <c r="O158" s="7">
        <v>200</v>
      </c>
      <c r="P158" s="5">
        <v>1740</v>
      </c>
    </row>
    <row r="159" spans="1:16" s="3" customFormat="1" ht="15" customHeight="1" outlineLevel="4" x14ac:dyDescent="0.2">
      <c r="A159" s="32" t="s">
        <v>32</v>
      </c>
      <c r="B159" s="32"/>
      <c r="C159" s="32"/>
      <c r="D159" s="32"/>
      <c r="E159" s="32"/>
      <c r="F159" s="32"/>
      <c r="G159" s="32"/>
      <c r="H159" s="32"/>
      <c r="I159" s="32"/>
      <c r="J159" s="32"/>
      <c r="K159" s="32"/>
      <c r="L159" s="32"/>
      <c r="M159" s="32"/>
      <c r="N159" s="32"/>
      <c r="O159" s="6">
        <v>200</v>
      </c>
      <c r="P159" s="2">
        <v>1740</v>
      </c>
    </row>
    <row r="160" spans="1:16" s="3" customFormat="1" ht="15" customHeight="1" x14ac:dyDescent="0.2">
      <c r="A160" s="30" t="s">
        <v>116</v>
      </c>
      <c r="B160" s="30"/>
      <c r="C160" s="30"/>
      <c r="D160" s="30"/>
      <c r="E160" s="30"/>
      <c r="F160" s="30"/>
      <c r="G160" s="30"/>
      <c r="H160" s="30"/>
      <c r="I160" s="30"/>
      <c r="J160" s="30"/>
      <c r="K160" s="30"/>
      <c r="L160" s="30"/>
      <c r="M160" s="30"/>
      <c r="N160" s="30"/>
      <c r="O160" s="4">
        <v>6000</v>
      </c>
      <c r="P160" s="5">
        <v>26050</v>
      </c>
    </row>
    <row r="161" spans="1:16" s="3" customFormat="1" ht="15" customHeight="1" outlineLevel="5" x14ac:dyDescent="0.2">
      <c r="A161" s="31" t="s">
        <v>117</v>
      </c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1"/>
      <c r="M161" s="31"/>
      <c r="N161" s="31"/>
      <c r="O161" s="1">
        <v>5000</v>
      </c>
      <c r="P161" s="2">
        <v>23350</v>
      </c>
    </row>
    <row r="162" spans="1:16" s="3" customFormat="1" ht="15" customHeight="1" outlineLevel="5" x14ac:dyDescent="0.2">
      <c r="A162" s="31" t="s">
        <v>118</v>
      </c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1"/>
      <c r="M162" s="31"/>
      <c r="N162" s="31"/>
      <c r="O162" s="1">
        <v>1000</v>
      </c>
      <c r="P162" s="2">
        <v>2700</v>
      </c>
    </row>
    <row r="163" spans="1:16" s="3" customFormat="1" ht="15" customHeight="1" x14ac:dyDescent="0.2">
      <c r="A163" s="30" t="s">
        <v>119</v>
      </c>
      <c r="B163" s="30"/>
      <c r="C163" s="30"/>
      <c r="D163" s="30"/>
      <c r="E163" s="30"/>
      <c r="F163" s="30"/>
      <c r="G163" s="30"/>
      <c r="H163" s="30"/>
      <c r="I163" s="30"/>
      <c r="J163" s="30"/>
      <c r="K163" s="30"/>
      <c r="L163" s="30"/>
      <c r="M163" s="30"/>
      <c r="N163" s="30"/>
      <c r="O163" s="4">
        <v>4700</v>
      </c>
      <c r="P163" s="5">
        <v>26890</v>
      </c>
    </row>
    <row r="164" spans="1:16" s="3" customFormat="1" ht="15" customHeight="1" outlineLevel="5" x14ac:dyDescent="0.2">
      <c r="A164" s="31" t="s">
        <v>16</v>
      </c>
      <c r="B164" s="31"/>
      <c r="C164" s="31"/>
      <c r="D164" s="31"/>
      <c r="E164" s="31"/>
      <c r="F164" s="31"/>
      <c r="G164" s="31"/>
      <c r="H164" s="31"/>
      <c r="I164" s="31"/>
      <c r="J164" s="31"/>
      <c r="K164" s="31"/>
      <c r="L164" s="31"/>
      <c r="M164" s="31"/>
      <c r="N164" s="31"/>
      <c r="O164" s="1">
        <v>3700</v>
      </c>
      <c r="P164" s="2">
        <v>13780</v>
      </c>
    </row>
    <row r="165" spans="1:16" s="3" customFormat="1" ht="15" customHeight="1" outlineLevel="5" x14ac:dyDescent="0.2">
      <c r="A165" s="31" t="s">
        <v>39</v>
      </c>
      <c r="B165" s="31"/>
      <c r="C165" s="31"/>
      <c r="D165" s="31"/>
      <c r="E165" s="31"/>
      <c r="F165" s="31"/>
      <c r="G165" s="31"/>
      <c r="H165" s="31"/>
      <c r="I165" s="31"/>
      <c r="J165" s="31"/>
      <c r="K165" s="31"/>
      <c r="L165" s="31"/>
      <c r="M165" s="31"/>
      <c r="N165" s="31"/>
      <c r="O165" s="1">
        <v>1000</v>
      </c>
      <c r="P165" s="2">
        <v>13110</v>
      </c>
    </row>
    <row r="166" spans="1:16" s="3" customFormat="1" ht="15" customHeight="1" x14ac:dyDescent="0.2">
      <c r="A166" s="30" t="s">
        <v>120</v>
      </c>
      <c r="B166" s="30"/>
      <c r="C166" s="30"/>
      <c r="D166" s="30"/>
      <c r="E166" s="30"/>
      <c r="F166" s="30"/>
      <c r="G166" s="30"/>
      <c r="H166" s="30"/>
      <c r="I166" s="30"/>
      <c r="J166" s="30"/>
      <c r="K166" s="30"/>
      <c r="L166" s="30"/>
      <c r="M166" s="30"/>
      <c r="N166" s="30"/>
      <c r="O166" s="7">
        <v>400</v>
      </c>
      <c r="P166" s="5">
        <v>1480</v>
      </c>
    </row>
    <row r="167" spans="1:16" s="3" customFormat="1" ht="15" customHeight="1" outlineLevel="5" x14ac:dyDescent="0.2">
      <c r="A167" s="31" t="s">
        <v>16</v>
      </c>
      <c r="B167" s="31"/>
      <c r="C167" s="31"/>
      <c r="D167" s="31"/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6">
        <v>400</v>
      </c>
      <c r="P167" s="2">
        <v>1480</v>
      </c>
    </row>
    <row r="168" spans="1:16" s="3" customFormat="1" ht="15" customHeight="1" x14ac:dyDescent="0.2">
      <c r="A168" s="30" t="s">
        <v>121</v>
      </c>
      <c r="B168" s="30"/>
      <c r="C168" s="30"/>
      <c r="D168" s="30"/>
      <c r="E168" s="30"/>
      <c r="F168" s="30"/>
      <c r="G168" s="30"/>
      <c r="H168" s="30"/>
      <c r="I168" s="30"/>
      <c r="J168" s="30"/>
      <c r="K168" s="30"/>
      <c r="L168" s="30"/>
      <c r="M168" s="30"/>
      <c r="N168" s="30"/>
      <c r="O168" s="4">
        <v>11250</v>
      </c>
      <c r="P168" s="5">
        <v>71655</v>
      </c>
    </row>
    <row r="169" spans="1:16" s="3" customFormat="1" ht="15" customHeight="1" outlineLevel="5" x14ac:dyDescent="0.2">
      <c r="A169" s="31" t="s">
        <v>86</v>
      </c>
      <c r="B169" s="31"/>
      <c r="C169" s="31"/>
      <c r="D169" s="31"/>
      <c r="E169" s="31"/>
      <c r="F169" s="31"/>
      <c r="G169" s="31"/>
      <c r="H169" s="31"/>
      <c r="I169" s="31"/>
      <c r="J169" s="31"/>
      <c r="K169" s="31"/>
      <c r="L169" s="31"/>
      <c r="M169" s="31"/>
      <c r="N169" s="31"/>
      <c r="O169" s="1">
        <v>3000</v>
      </c>
      <c r="P169" s="2">
        <v>10620</v>
      </c>
    </row>
    <row r="170" spans="1:16" s="3" customFormat="1" ht="15" customHeight="1" outlineLevel="5" x14ac:dyDescent="0.2">
      <c r="A170" s="31" t="s">
        <v>122</v>
      </c>
      <c r="B170" s="31"/>
      <c r="C170" s="31"/>
      <c r="D170" s="31"/>
      <c r="E170" s="31"/>
      <c r="F170" s="31"/>
      <c r="G170" s="31"/>
      <c r="H170" s="31"/>
      <c r="I170" s="31"/>
      <c r="J170" s="31"/>
      <c r="K170" s="31"/>
      <c r="L170" s="31"/>
      <c r="M170" s="31"/>
      <c r="N170" s="31"/>
      <c r="O170" s="1">
        <v>1000</v>
      </c>
      <c r="P170" s="2">
        <v>15410</v>
      </c>
    </row>
    <row r="171" spans="1:16" s="3" customFormat="1" ht="15" customHeight="1" outlineLevel="5" x14ac:dyDescent="0.2">
      <c r="A171" s="31" t="s">
        <v>123</v>
      </c>
      <c r="B171" s="31"/>
      <c r="C171" s="31"/>
      <c r="D171" s="31"/>
      <c r="E171" s="31"/>
      <c r="F171" s="31"/>
      <c r="G171" s="31"/>
      <c r="H171" s="31"/>
      <c r="I171" s="31"/>
      <c r="J171" s="31"/>
      <c r="K171" s="31"/>
      <c r="L171" s="31"/>
      <c r="M171" s="31"/>
      <c r="N171" s="31"/>
      <c r="O171" s="1">
        <v>1000</v>
      </c>
      <c r="P171" s="2">
        <v>5200</v>
      </c>
    </row>
    <row r="172" spans="1:16" s="3" customFormat="1" ht="15" customHeight="1" outlineLevel="5" x14ac:dyDescent="0.2">
      <c r="A172" s="31" t="s">
        <v>90</v>
      </c>
      <c r="B172" s="31"/>
      <c r="C172" s="31"/>
      <c r="D172" s="31"/>
      <c r="E172" s="31"/>
      <c r="F172" s="31"/>
      <c r="G172" s="31"/>
      <c r="H172" s="31"/>
      <c r="I172" s="31"/>
      <c r="J172" s="31"/>
      <c r="K172" s="31"/>
      <c r="L172" s="31"/>
      <c r="M172" s="31"/>
      <c r="N172" s="31"/>
      <c r="O172" s="1">
        <v>2000</v>
      </c>
      <c r="P172" s="2">
        <v>7100</v>
      </c>
    </row>
    <row r="173" spans="1:16" s="3" customFormat="1" ht="15" customHeight="1" outlineLevel="4" x14ac:dyDescent="0.2">
      <c r="A173" s="32" t="s">
        <v>31</v>
      </c>
      <c r="B173" s="32"/>
      <c r="C173" s="32"/>
      <c r="D173" s="32"/>
      <c r="E173" s="32"/>
      <c r="F173" s="32"/>
      <c r="G173" s="32"/>
      <c r="H173" s="32"/>
      <c r="I173" s="32"/>
      <c r="J173" s="32"/>
      <c r="K173" s="32"/>
      <c r="L173" s="32"/>
      <c r="M173" s="32"/>
      <c r="N173" s="32"/>
      <c r="O173" s="1">
        <v>4000</v>
      </c>
      <c r="P173" s="2">
        <v>31200</v>
      </c>
    </row>
    <row r="174" spans="1:16" s="3" customFormat="1" ht="15" customHeight="1" outlineLevel="4" x14ac:dyDescent="0.2">
      <c r="A174" s="32" t="s">
        <v>32</v>
      </c>
      <c r="B174" s="32"/>
      <c r="C174" s="32"/>
      <c r="D174" s="32"/>
      <c r="E174" s="32"/>
      <c r="F174" s="32"/>
      <c r="G174" s="32"/>
      <c r="H174" s="32"/>
      <c r="I174" s="32"/>
      <c r="J174" s="32"/>
      <c r="K174" s="32"/>
      <c r="L174" s="32"/>
      <c r="M174" s="32"/>
      <c r="N174" s="32"/>
      <c r="O174" s="1">
        <v>250</v>
      </c>
      <c r="P174" s="2">
        <v>2125</v>
      </c>
    </row>
    <row r="175" spans="1:16" s="3" customFormat="1" ht="15" customHeight="1" x14ac:dyDescent="0.2">
      <c r="A175" s="30" t="s">
        <v>124</v>
      </c>
      <c r="B175" s="30"/>
      <c r="C175" s="30"/>
      <c r="D175" s="30"/>
      <c r="E175" s="30"/>
      <c r="F175" s="30"/>
      <c r="G175" s="30"/>
      <c r="H175" s="30"/>
      <c r="I175" s="30"/>
      <c r="J175" s="30"/>
      <c r="K175" s="30"/>
      <c r="L175" s="30"/>
      <c r="M175" s="30"/>
      <c r="N175" s="30"/>
      <c r="O175" s="7">
        <v>100</v>
      </c>
      <c r="P175" s="9">
        <v>870</v>
      </c>
    </row>
    <row r="176" spans="1:16" s="3" customFormat="1" ht="15" customHeight="1" outlineLevel="4" x14ac:dyDescent="0.2">
      <c r="A176" s="32" t="s">
        <v>32</v>
      </c>
      <c r="B176" s="32"/>
      <c r="C176" s="32"/>
      <c r="D176" s="32"/>
      <c r="E176" s="32"/>
      <c r="F176" s="32"/>
      <c r="G176" s="32"/>
      <c r="H176" s="32"/>
      <c r="I176" s="32"/>
      <c r="J176" s="32"/>
      <c r="K176" s="32"/>
      <c r="L176" s="32"/>
      <c r="M176" s="32"/>
      <c r="N176" s="32"/>
      <c r="O176" s="6">
        <v>100</v>
      </c>
      <c r="P176" s="8">
        <v>870</v>
      </c>
    </row>
    <row r="177" spans="1:16" s="3" customFormat="1" ht="15" customHeight="1" x14ac:dyDescent="0.2">
      <c r="A177" s="30" t="s">
        <v>125</v>
      </c>
      <c r="B177" s="30"/>
      <c r="C177" s="30"/>
      <c r="D177" s="30"/>
      <c r="E177" s="30"/>
      <c r="F177" s="30"/>
      <c r="G177" s="30"/>
      <c r="H177" s="30"/>
      <c r="I177" s="30"/>
      <c r="J177" s="30"/>
      <c r="K177" s="30"/>
      <c r="L177" s="30"/>
      <c r="M177" s="30"/>
      <c r="N177" s="30"/>
      <c r="O177" s="4">
        <v>2150</v>
      </c>
      <c r="P177" s="5">
        <v>29256.5</v>
      </c>
    </row>
    <row r="178" spans="1:16" s="3" customFormat="1" ht="15" customHeight="1" outlineLevel="5" x14ac:dyDescent="0.2">
      <c r="A178" s="31" t="s">
        <v>126</v>
      </c>
      <c r="B178" s="31"/>
      <c r="C178" s="31"/>
      <c r="D178" s="31"/>
      <c r="E178" s="31"/>
      <c r="F178" s="31"/>
      <c r="G178" s="31"/>
      <c r="H178" s="31"/>
      <c r="I178" s="31"/>
      <c r="J178" s="31"/>
      <c r="K178" s="31"/>
      <c r="L178" s="31"/>
      <c r="M178" s="31"/>
      <c r="N178" s="31"/>
      <c r="O178" s="1">
        <v>2000</v>
      </c>
      <c r="P178" s="2">
        <v>3500</v>
      </c>
    </row>
    <row r="179" spans="1:16" s="3" customFormat="1" ht="15" customHeight="1" outlineLevel="4" x14ac:dyDescent="0.2">
      <c r="A179" s="32" t="s">
        <v>29</v>
      </c>
      <c r="B179" s="32"/>
      <c r="C179" s="32"/>
      <c r="D179" s="32"/>
      <c r="E179" s="32"/>
      <c r="F179" s="32"/>
      <c r="G179" s="32"/>
      <c r="H179" s="32"/>
      <c r="I179" s="32"/>
      <c r="J179" s="32"/>
      <c r="K179" s="32"/>
      <c r="L179" s="32"/>
      <c r="M179" s="32"/>
      <c r="N179" s="32"/>
      <c r="O179" s="6">
        <v>150</v>
      </c>
      <c r="P179" s="2">
        <v>25756.5</v>
      </c>
    </row>
    <row r="180" spans="1:16" s="3" customFormat="1" ht="15" customHeight="1" x14ac:dyDescent="0.2">
      <c r="A180" s="30" t="s">
        <v>127</v>
      </c>
      <c r="B180" s="30"/>
      <c r="C180" s="30"/>
      <c r="D180" s="30"/>
      <c r="E180" s="30"/>
      <c r="F180" s="30"/>
      <c r="G180" s="30"/>
      <c r="H180" s="30"/>
      <c r="I180" s="30"/>
      <c r="J180" s="30"/>
      <c r="K180" s="30"/>
      <c r="L180" s="30"/>
      <c r="M180" s="30"/>
      <c r="N180" s="30"/>
      <c r="O180" s="7">
        <v>300</v>
      </c>
      <c r="P180" s="5">
        <v>2610</v>
      </c>
    </row>
    <row r="181" spans="1:16" s="3" customFormat="1" ht="15" customHeight="1" outlineLevel="4" x14ac:dyDescent="0.2">
      <c r="A181" s="32" t="s">
        <v>32</v>
      </c>
      <c r="B181" s="32"/>
      <c r="C181" s="32"/>
      <c r="D181" s="32"/>
      <c r="E181" s="32"/>
      <c r="F181" s="32"/>
      <c r="G181" s="32"/>
      <c r="H181" s="32"/>
      <c r="I181" s="32"/>
      <c r="J181" s="32"/>
      <c r="K181" s="32"/>
      <c r="L181" s="32"/>
      <c r="M181" s="32"/>
      <c r="N181" s="32"/>
      <c r="O181" s="6">
        <v>300</v>
      </c>
      <c r="P181" s="2">
        <v>2610</v>
      </c>
    </row>
    <row r="182" spans="1:16" s="3" customFormat="1" ht="15" customHeight="1" x14ac:dyDescent="0.2">
      <c r="A182" s="30" t="s">
        <v>128</v>
      </c>
      <c r="B182" s="30"/>
      <c r="C182" s="30"/>
      <c r="D182" s="30"/>
      <c r="E182" s="30"/>
      <c r="F182" s="30"/>
      <c r="G182" s="30"/>
      <c r="H182" s="30"/>
      <c r="I182" s="30"/>
      <c r="J182" s="30"/>
      <c r="K182" s="30"/>
      <c r="L182" s="30"/>
      <c r="M182" s="30"/>
      <c r="N182" s="30"/>
      <c r="O182" s="4">
        <v>10000</v>
      </c>
      <c r="P182" s="5">
        <v>32500</v>
      </c>
    </row>
    <row r="183" spans="1:16" s="3" customFormat="1" ht="15" customHeight="1" outlineLevel="5" x14ac:dyDescent="0.2">
      <c r="A183" s="31" t="s">
        <v>129</v>
      </c>
      <c r="B183" s="31"/>
      <c r="C183" s="31"/>
      <c r="D183" s="31"/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1">
        <v>10000</v>
      </c>
      <c r="P183" s="2">
        <v>32500</v>
      </c>
    </row>
    <row r="184" spans="1:16" s="3" customFormat="1" ht="15" customHeight="1" x14ac:dyDescent="0.2">
      <c r="A184" s="30" t="s">
        <v>130</v>
      </c>
      <c r="B184" s="30"/>
      <c r="C184" s="30"/>
      <c r="D184" s="30"/>
      <c r="E184" s="30"/>
      <c r="F184" s="30"/>
      <c r="G184" s="30"/>
      <c r="H184" s="30"/>
      <c r="I184" s="30"/>
      <c r="J184" s="30"/>
      <c r="K184" s="30"/>
      <c r="L184" s="30"/>
      <c r="M184" s="30"/>
      <c r="N184" s="30"/>
      <c r="O184" s="4">
        <v>1005</v>
      </c>
      <c r="P184" s="5">
        <v>3890.35</v>
      </c>
    </row>
    <row r="185" spans="1:16" s="3" customFormat="1" ht="15" customHeight="1" outlineLevel="5" x14ac:dyDescent="0.2">
      <c r="A185" s="31" t="s">
        <v>131</v>
      </c>
      <c r="B185" s="31"/>
      <c r="C185" s="31"/>
      <c r="D185" s="31"/>
      <c r="E185" s="31"/>
      <c r="F185" s="31"/>
      <c r="G185" s="31"/>
      <c r="H185" s="31"/>
      <c r="I185" s="31"/>
      <c r="J185" s="31"/>
      <c r="K185" s="31"/>
      <c r="L185" s="31"/>
      <c r="M185" s="31"/>
      <c r="N185" s="31"/>
      <c r="O185" s="1">
        <v>1000</v>
      </c>
      <c r="P185" s="2">
        <v>2980</v>
      </c>
    </row>
    <row r="186" spans="1:16" s="3" customFormat="1" ht="15" customHeight="1" outlineLevel="4" x14ac:dyDescent="0.2">
      <c r="A186" s="32" t="s">
        <v>29</v>
      </c>
      <c r="B186" s="32"/>
      <c r="C186" s="32"/>
      <c r="D186" s="32"/>
      <c r="E186" s="32"/>
      <c r="F186" s="32"/>
      <c r="G186" s="32"/>
      <c r="H186" s="32"/>
      <c r="I186" s="32"/>
      <c r="J186" s="32"/>
      <c r="K186" s="32"/>
      <c r="L186" s="32"/>
      <c r="M186" s="32"/>
      <c r="N186" s="32"/>
      <c r="O186" s="6">
        <v>5</v>
      </c>
      <c r="P186" s="8">
        <v>910.35</v>
      </c>
    </row>
    <row r="187" spans="1:16" s="3" customFormat="1" ht="15" customHeight="1" x14ac:dyDescent="0.2">
      <c r="A187" s="30" t="s">
        <v>132</v>
      </c>
      <c r="B187" s="30"/>
      <c r="C187" s="30"/>
      <c r="D187" s="30"/>
      <c r="E187" s="30"/>
      <c r="F187" s="30"/>
      <c r="G187" s="30"/>
      <c r="H187" s="30"/>
      <c r="I187" s="30"/>
      <c r="J187" s="30"/>
      <c r="K187" s="30"/>
      <c r="L187" s="30"/>
      <c r="M187" s="30"/>
      <c r="N187" s="30"/>
      <c r="O187" s="4">
        <v>16500</v>
      </c>
      <c r="P187" s="5">
        <v>202426</v>
      </c>
    </row>
    <row r="188" spans="1:16" s="3" customFormat="1" ht="15" customHeight="1" outlineLevel="5" x14ac:dyDescent="0.2">
      <c r="A188" s="31" t="s">
        <v>133</v>
      </c>
      <c r="B188" s="31"/>
      <c r="C188" s="31"/>
      <c r="D188" s="31"/>
      <c r="E188" s="31"/>
      <c r="F188" s="31"/>
      <c r="G188" s="31"/>
      <c r="H188" s="31"/>
      <c r="I188" s="31"/>
      <c r="J188" s="31"/>
      <c r="K188" s="31"/>
      <c r="L188" s="31"/>
      <c r="M188" s="31"/>
      <c r="N188" s="31"/>
      <c r="O188" s="1">
        <v>1000</v>
      </c>
      <c r="P188" s="2">
        <v>16330</v>
      </c>
    </row>
    <row r="189" spans="1:16" s="3" customFormat="1" ht="15" customHeight="1" outlineLevel="5" x14ac:dyDescent="0.2">
      <c r="A189" s="31" t="s">
        <v>134</v>
      </c>
      <c r="B189" s="31"/>
      <c r="C189" s="31"/>
      <c r="D189" s="31"/>
      <c r="E189" s="31"/>
      <c r="F189" s="31"/>
      <c r="G189" s="31"/>
      <c r="H189" s="31"/>
      <c r="I189" s="31"/>
      <c r="J189" s="31"/>
      <c r="K189" s="31"/>
      <c r="L189" s="31"/>
      <c r="M189" s="31"/>
      <c r="N189" s="31"/>
      <c r="O189" s="1">
        <v>6000</v>
      </c>
      <c r="P189" s="2">
        <v>82500</v>
      </c>
    </row>
    <row r="190" spans="1:16" s="3" customFormat="1" ht="15" customHeight="1" outlineLevel="5" x14ac:dyDescent="0.2">
      <c r="A190" s="31" t="s">
        <v>135</v>
      </c>
      <c r="B190" s="31"/>
      <c r="C190" s="31"/>
      <c r="D190" s="31"/>
      <c r="E190" s="31"/>
      <c r="F190" s="31"/>
      <c r="G190" s="31"/>
      <c r="H190" s="31"/>
      <c r="I190" s="31"/>
      <c r="J190" s="31"/>
      <c r="K190" s="31"/>
      <c r="L190" s="31"/>
      <c r="M190" s="31"/>
      <c r="N190" s="31"/>
      <c r="O190" s="1">
        <v>5000</v>
      </c>
      <c r="P190" s="2">
        <v>68750</v>
      </c>
    </row>
    <row r="191" spans="1:16" s="3" customFormat="1" ht="15" customHeight="1" outlineLevel="5" x14ac:dyDescent="0.2">
      <c r="A191" s="31" t="s">
        <v>136</v>
      </c>
      <c r="B191" s="31"/>
      <c r="C191" s="31"/>
      <c r="D191" s="31"/>
      <c r="E191" s="31"/>
      <c r="F191" s="31"/>
      <c r="G191" s="31"/>
      <c r="H191" s="31"/>
      <c r="I191" s="31"/>
      <c r="J191" s="31"/>
      <c r="K191" s="31"/>
      <c r="L191" s="31"/>
      <c r="M191" s="31"/>
      <c r="N191" s="31"/>
      <c r="O191" s="1">
        <v>4000</v>
      </c>
      <c r="P191" s="2">
        <v>29200</v>
      </c>
    </row>
    <row r="192" spans="1:16" s="3" customFormat="1" ht="15" customHeight="1" outlineLevel="4" x14ac:dyDescent="0.2">
      <c r="A192" s="32" t="s">
        <v>32</v>
      </c>
      <c r="B192" s="32"/>
      <c r="C192" s="32"/>
      <c r="D192" s="32"/>
      <c r="E192" s="32"/>
      <c r="F192" s="32"/>
      <c r="G192" s="32"/>
      <c r="H192" s="32"/>
      <c r="I192" s="32"/>
      <c r="J192" s="32"/>
      <c r="K192" s="32"/>
      <c r="L192" s="32"/>
      <c r="M192" s="32"/>
      <c r="N192" s="32"/>
      <c r="O192" s="6">
        <v>300</v>
      </c>
      <c r="P192" s="2">
        <v>2610</v>
      </c>
    </row>
    <row r="193" spans="1:16" s="3" customFormat="1" ht="15" customHeight="1" outlineLevel="4" x14ac:dyDescent="0.2">
      <c r="A193" s="32" t="s">
        <v>34</v>
      </c>
      <c r="B193" s="32"/>
      <c r="C193" s="32"/>
      <c r="D193" s="32"/>
      <c r="E193" s="32"/>
      <c r="F193" s="32"/>
      <c r="G193" s="32"/>
      <c r="H193" s="32"/>
      <c r="I193" s="32"/>
      <c r="J193" s="32"/>
      <c r="K193" s="32"/>
      <c r="L193" s="32"/>
      <c r="M193" s="32"/>
      <c r="N193" s="32"/>
      <c r="O193" s="6">
        <v>200</v>
      </c>
      <c r="P193" s="2">
        <v>3036</v>
      </c>
    </row>
    <row r="194" spans="1:16" s="3" customFormat="1" ht="15" customHeight="1" x14ac:dyDescent="0.2">
      <c r="A194" s="30" t="s">
        <v>137</v>
      </c>
      <c r="B194" s="30"/>
      <c r="C194" s="30"/>
      <c r="D194" s="30"/>
      <c r="E194" s="30"/>
      <c r="F194" s="30"/>
      <c r="G194" s="30"/>
      <c r="H194" s="30"/>
      <c r="I194" s="30"/>
      <c r="J194" s="30"/>
      <c r="K194" s="30"/>
      <c r="L194" s="30"/>
      <c r="M194" s="30"/>
      <c r="N194" s="30"/>
      <c r="O194" s="4">
        <v>2000</v>
      </c>
      <c r="P194" s="5">
        <v>15600</v>
      </c>
    </row>
    <row r="195" spans="1:16" s="3" customFormat="1" ht="15" customHeight="1" outlineLevel="4" x14ac:dyDescent="0.2">
      <c r="A195" s="32" t="s">
        <v>31</v>
      </c>
      <c r="B195" s="32"/>
      <c r="C195" s="32"/>
      <c r="D195" s="32"/>
      <c r="E195" s="32"/>
      <c r="F195" s="32"/>
      <c r="G195" s="32"/>
      <c r="H195" s="32"/>
      <c r="I195" s="32"/>
      <c r="J195" s="32"/>
      <c r="K195" s="32"/>
      <c r="L195" s="32"/>
      <c r="M195" s="32"/>
      <c r="N195" s="32"/>
      <c r="O195" s="1">
        <v>2000</v>
      </c>
      <c r="P195" s="2">
        <v>15600</v>
      </c>
    </row>
    <row r="196" spans="1:16" s="3" customFormat="1" ht="15" customHeight="1" x14ac:dyDescent="0.2">
      <c r="A196" s="30" t="s">
        <v>138</v>
      </c>
      <c r="B196" s="30"/>
      <c r="C196" s="30"/>
      <c r="D196" s="30"/>
      <c r="E196" s="30"/>
      <c r="F196" s="30"/>
      <c r="G196" s="30"/>
      <c r="H196" s="30"/>
      <c r="I196" s="30"/>
      <c r="J196" s="30"/>
      <c r="K196" s="30"/>
      <c r="L196" s="30"/>
      <c r="M196" s="30"/>
      <c r="N196" s="30"/>
      <c r="O196" s="4">
        <v>6000</v>
      </c>
      <c r="P196" s="5">
        <v>202200</v>
      </c>
    </row>
    <row r="197" spans="1:16" s="3" customFormat="1" ht="15" customHeight="1" outlineLevel="5" x14ac:dyDescent="0.2">
      <c r="A197" s="31" t="s">
        <v>85</v>
      </c>
      <c r="B197" s="31"/>
      <c r="C197" s="31"/>
      <c r="D197" s="31"/>
      <c r="E197" s="31"/>
      <c r="F197" s="31"/>
      <c r="G197" s="31"/>
      <c r="H197" s="31"/>
      <c r="I197" s="31"/>
      <c r="J197" s="31"/>
      <c r="K197" s="31"/>
      <c r="L197" s="31"/>
      <c r="M197" s="31"/>
      <c r="N197" s="31"/>
      <c r="O197" s="1">
        <v>6000</v>
      </c>
      <c r="P197" s="2">
        <v>202200</v>
      </c>
    </row>
    <row r="198" spans="1:16" s="3" customFormat="1" ht="15" customHeight="1" x14ac:dyDescent="0.2">
      <c r="A198" s="30" t="s">
        <v>139</v>
      </c>
      <c r="B198" s="30"/>
      <c r="C198" s="30"/>
      <c r="D198" s="30"/>
      <c r="E198" s="30"/>
      <c r="F198" s="30"/>
      <c r="G198" s="30"/>
      <c r="H198" s="30"/>
      <c r="I198" s="30"/>
      <c r="J198" s="30"/>
      <c r="K198" s="30"/>
      <c r="L198" s="30"/>
      <c r="M198" s="30"/>
      <c r="N198" s="30"/>
      <c r="O198" s="4">
        <v>26475</v>
      </c>
      <c r="P198" s="5">
        <v>68409</v>
      </c>
    </row>
    <row r="199" spans="1:16" s="3" customFormat="1" ht="15" customHeight="1" outlineLevel="5" x14ac:dyDescent="0.2">
      <c r="A199" s="31" t="s">
        <v>88</v>
      </c>
      <c r="B199" s="31"/>
      <c r="C199" s="31"/>
      <c r="D199" s="31"/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1">
        <v>3000</v>
      </c>
      <c r="P199" s="2">
        <v>7860</v>
      </c>
    </row>
    <row r="200" spans="1:16" s="3" customFormat="1" ht="15" customHeight="1" outlineLevel="5" x14ac:dyDescent="0.2">
      <c r="A200" s="31" t="s">
        <v>140</v>
      </c>
      <c r="B200" s="31"/>
      <c r="C200" s="31"/>
      <c r="D200" s="31"/>
      <c r="E200" s="31"/>
      <c r="F200" s="31"/>
      <c r="G200" s="31"/>
      <c r="H200" s="31"/>
      <c r="I200" s="31"/>
      <c r="J200" s="31"/>
      <c r="K200" s="31"/>
      <c r="L200" s="31"/>
      <c r="M200" s="31"/>
      <c r="N200" s="31"/>
      <c r="O200" s="1">
        <v>1300</v>
      </c>
      <c r="P200" s="2">
        <v>8671</v>
      </c>
    </row>
    <row r="201" spans="1:16" s="3" customFormat="1" ht="15" customHeight="1" outlineLevel="5" x14ac:dyDescent="0.2">
      <c r="A201" s="31" t="s">
        <v>91</v>
      </c>
      <c r="B201" s="31"/>
      <c r="C201" s="31"/>
      <c r="D201" s="31"/>
      <c r="E201" s="31"/>
      <c r="F201" s="31"/>
      <c r="G201" s="31"/>
      <c r="H201" s="31"/>
      <c r="I201" s="31"/>
      <c r="J201" s="31"/>
      <c r="K201" s="31"/>
      <c r="L201" s="31"/>
      <c r="M201" s="31"/>
      <c r="N201" s="31"/>
      <c r="O201" s="1">
        <v>1500</v>
      </c>
      <c r="P201" s="2">
        <v>3495</v>
      </c>
    </row>
    <row r="202" spans="1:16" s="13" customFormat="1" ht="15" customHeight="1" outlineLevel="5" x14ac:dyDescent="0.2">
      <c r="A202" s="31" t="s">
        <v>67</v>
      </c>
      <c r="B202" s="31"/>
      <c r="C202" s="31"/>
      <c r="D202" s="31"/>
      <c r="E202" s="31"/>
      <c r="F202" s="31"/>
      <c r="G202" s="31"/>
      <c r="H202" s="31"/>
      <c r="I202" s="31"/>
      <c r="J202" s="31"/>
      <c r="K202" s="31"/>
      <c r="L202" s="31"/>
      <c r="M202" s="31"/>
      <c r="N202" s="31"/>
      <c r="O202" s="1">
        <v>6675</v>
      </c>
      <c r="P202" s="2">
        <v>18423</v>
      </c>
    </row>
    <row r="203" spans="1:16" s="3" customFormat="1" ht="15" customHeight="1" outlineLevel="5" x14ac:dyDescent="0.2">
      <c r="A203" s="31" t="s">
        <v>94</v>
      </c>
      <c r="B203" s="31"/>
      <c r="C203" s="31"/>
      <c r="D203" s="31"/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1">
        <v>14000</v>
      </c>
      <c r="P203" s="2">
        <v>29960</v>
      </c>
    </row>
    <row r="204" spans="1:16" s="3" customFormat="1" ht="15" customHeight="1" x14ac:dyDescent="0.2">
      <c r="A204" s="30" t="s">
        <v>141</v>
      </c>
      <c r="B204" s="30"/>
      <c r="C204" s="30"/>
      <c r="D204" s="30"/>
      <c r="E204" s="30"/>
      <c r="F204" s="30"/>
      <c r="G204" s="30"/>
      <c r="H204" s="30"/>
      <c r="I204" s="30"/>
      <c r="J204" s="30"/>
      <c r="K204" s="30"/>
      <c r="L204" s="30"/>
      <c r="M204" s="30"/>
      <c r="N204" s="30"/>
      <c r="O204" s="4">
        <v>7000</v>
      </c>
      <c r="P204" s="5">
        <v>35300</v>
      </c>
    </row>
    <row r="205" spans="1:16" s="3" customFormat="1" ht="15" customHeight="1" outlineLevel="5" x14ac:dyDescent="0.2">
      <c r="A205" s="31" t="s">
        <v>87</v>
      </c>
      <c r="B205" s="31"/>
      <c r="C205" s="31"/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1">
        <v>5000</v>
      </c>
      <c r="P205" s="2">
        <v>16300</v>
      </c>
    </row>
    <row r="206" spans="1:16" s="3" customFormat="1" ht="15" customHeight="1" outlineLevel="5" x14ac:dyDescent="0.2">
      <c r="A206" s="31" t="s">
        <v>89</v>
      </c>
      <c r="B206" s="31"/>
      <c r="C206" s="31"/>
      <c r="D206" s="31"/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1">
        <v>2000</v>
      </c>
      <c r="P206" s="2">
        <v>19000</v>
      </c>
    </row>
    <row r="207" spans="1:16" s="3" customFormat="1" ht="15" customHeight="1" x14ac:dyDescent="0.2">
      <c r="A207" s="30" t="s">
        <v>142</v>
      </c>
      <c r="B207" s="30"/>
      <c r="C207" s="30"/>
      <c r="D207" s="30"/>
      <c r="E207" s="30"/>
      <c r="F207" s="30"/>
      <c r="G207" s="30"/>
      <c r="H207" s="30"/>
      <c r="I207" s="30"/>
      <c r="J207" s="30"/>
      <c r="K207" s="30"/>
      <c r="L207" s="30"/>
      <c r="M207" s="30"/>
      <c r="N207" s="30"/>
      <c r="O207" s="7">
        <v>405</v>
      </c>
      <c r="P207" s="5">
        <v>2390.35</v>
      </c>
    </row>
    <row r="208" spans="1:16" s="3" customFormat="1" ht="15" customHeight="1" outlineLevel="4" x14ac:dyDescent="0.2">
      <c r="A208" s="32" t="s">
        <v>29</v>
      </c>
      <c r="B208" s="32"/>
      <c r="C208" s="32"/>
      <c r="D208" s="32"/>
      <c r="E208" s="32"/>
      <c r="F208" s="32"/>
      <c r="G208" s="32"/>
      <c r="H208" s="32"/>
      <c r="I208" s="32"/>
      <c r="J208" s="32"/>
      <c r="K208" s="32"/>
      <c r="L208" s="32"/>
      <c r="M208" s="32"/>
      <c r="N208" s="32"/>
      <c r="O208" s="6">
        <v>5</v>
      </c>
      <c r="P208" s="8">
        <v>910.35</v>
      </c>
    </row>
    <row r="209" spans="1:16" s="3" customFormat="1" ht="15" customHeight="1" outlineLevel="5" x14ac:dyDescent="0.2">
      <c r="A209" s="31" t="s">
        <v>16</v>
      </c>
      <c r="B209" s="31"/>
      <c r="C209" s="31"/>
      <c r="D209" s="31"/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6">
        <v>400</v>
      </c>
      <c r="P209" s="2">
        <v>1480</v>
      </c>
    </row>
    <row r="210" spans="1:16" s="3" customFormat="1" ht="15" customHeight="1" x14ac:dyDescent="0.2">
      <c r="A210" s="30" t="s">
        <v>143</v>
      </c>
      <c r="B210" s="30"/>
      <c r="C210" s="30"/>
      <c r="D210" s="30"/>
      <c r="E210" s="30"/>
      <c r="F210" s="30"/>
      <c r="G210" s="30"/>
      <c r="H210" s="30"/>
      <c r="I210" s="30"/>
      <c r="J210" s="30"/>
      <c r="K210" s="30"/>
      <c r="L210" s="30"/>
      <c r="M210" s="30"/>
      <c r="N210" s="30"/>
      <c r="O210" s="4">
        <v>4000</v>
      </c>
      <c r="P210" s="5">
        <v>14660</v>
      </c>
    </row>
    <row r="211" spans="1:16" s="3" customFormat="1" ht="15" customHeight="1" outlineLevel="5" x14ac:dyDescent="0.2">
      <c r="A211" s="31" t="s">
        <v>16</v>
      </c>
      <c r="B211" s="31"/>
      <c r="C211" s="31"/>
      <c r="D211" s="31"/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1">
        <v>4000</v>
      </c>
      <c r="P211" s="2">
        <v>14660</v>
      </c>
    </row>
    <row r="212" spans="1:16" s="3" customFormat="1" ht="15" customHeight="1" x14ac:dyDescent="0.2">
      <c r="A212" s="30" t="s">
        <v>144</v>
      </c>
      <c r="B212" s="30"/>
      <c r="C212" s="30"/>
      <c r="D212" s="30"/>
      <c r="E212" s="30"/>
      <c r="F212" s="30"/>
      <c r="G212" s="30"/>
      <c r="H212" s="30"/>
      <c r="I212" s="30"/>
      <c r="J212" s="30"/>
      <c r="K212" s="30"/>
      <c r="L212" s="30"/>
      <c r="M212" s="30"/>
      <c r="N212" s="30"/>
      <c r="O212" s="4">
        <v>5000</v>
      </c>
      <c r="P212" s="5">
        <v>8000</v>
      </c>
    </row>
    <row r="213" spans="1:16" s="3" customFormat="1" ht="15" customHeight="1" outlineLevel="6" x14ac:dyDescent="0.2">
      <c r="A213" s="33" t="s">
        <v>73</v>
      </c>
      <c r="B213" s="33"/>
      <c r="C213" s="33"/>
      <c r="D213" s="33"/>
      <c r="E213" s="33"/>
      <c r="F213" s="33"/>
      <c r="G213" s="33"/>
      <c r="H213" s="33"/>
      <c r="I213" s="33"/>
      <c r="J213" s="33"/>
      <c r="K213" s="33"/>
      <c r="L213" s="33"/>
      <c r="M213" s="33"/>
      <c r="N213" s="33"/>
      <c r="O213" s="1">
        <v>5000</v>
      </c>
      <c r="P213" s="2">
        <v>8000</v>
      </c>
    </row>
    <row r="214" spans="1:16" s="3" customFormat="1" ht="15" customHeight="1" x14ac:dyDescent="0.2">
      <c r="A214" s="30" t="s">
        <v>145</v>
      </c>
      <c r="B214" s="30"/>
      <c r="C214" s="30"/>
      <c r="D214" s="30"/>
      <c r="E214" s="30"/>
      <c r="F214" s="30"/>
      <c r="G214" s="30"/>
      <c r="H214" s="30"/>
      <c r="I214" s="30"/>
      <c r="J214" s="30"/>
      <c r="K214" s="30"/>
      <c r="L214" s="30"/>
      <c r="M214" s="30"/>
      <c r="N214" s="30"/>
      <c r="O214" s="4">
        <v>7575</v>
      </c>
      <c r="P214" s="5">
        <v>12120</v>
      </c>
    </row>
    <row r="215" spans="1:16" s="3" customFormat="1" ht="15" customHeight="1" outlineLevel="6" x14ac:dyDescent="0.2">
      <c r="A215" s="33" t="s">
        <v>73</v>
      </c>
      <c r="B215" s="33"/>
      <c r="C215" s="33"/>
      <c r="D215" s="33"/>
      <c r="E215" s="33"/>
      <c r="F215" s="33"/>
      <c r="G215" s="33"/>
      <c r="H215" s="33"/>
      <c r="I215" s="33"/>
      <c r="J215" s="33"/>
      <c r="K215" s="33"/>
      <c r="L215" s="33"/>
      <c r="M215" s="33"/>
      <c r="N215" s="33"/>
      <c r="O215" s="1">
        <v>7575</v>
      </c>
      <c r="P215" s="2">
        <v>12120</v>
      </c>
    </row>
    <row r="216" spans="1:16" s="3" customFormat="1" ht="15" customHeight="1" x14ac:dyDescent="0.2">
      <c r="A216" s="30" t="s">
        <v>146</v>
      </c>
      <c r="B216" s="30"/>
      <c r="C216" s="30"/>
      <c r="D216" s="30"/>
      <c r="E216" s="30"/>
      <c r="F216" s="30"/>
      <c r="G216" s="30"/>
      <c r="H216" s="30"/>
      <c r="I216" s="30"/>
      <c r="J216" s="30"/>
      <c r="K216" s="30"/>
      <c r="L216" s="30"/>
      <c r="M216" s="30"/>
      <c r="N216" s="30"/>
      <c r="O216" s="4">
        <v>47850</v>
      </c>
      <c r="P216" s="5">
        <v>167712.5</v>
      </c>
    </row>
    <row r="217" spans="1:16" s="3" customFormat="1" ht="15" customHeight="1" outlineLevel="5" x14ac:dyDescent="0.2">
      <c r="A217" s="31" t="s">
        <v>147</v>
      </c>
      <c r="B217" s="31"/>
      <c r="C217" s="31"/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1">
        <v>5000</v>
      </c>
      <c r="P217" s="2">
        <v>25300</v>
      </c>
    </row>
    <row r="218" spans="1:16" s="3" customFormat="1" ht="15" customHeight="1" outlineLevel="5" x14ac:dyDescent="0.2">
      <c r="A218" s="31" t="s">
        <v>148</v>
      </c>
      <c r="B218" s="31"/>
      <c r="C218" s="31"/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1">
        <v>1000</v>
      </c>
      <c r="P218" s="2">
        <v>3660</v>
      </c>
    </row>
    <row r="219" spans="1:16" s="3" customFormat="1" ht="15" customHeight="1" outlineLevel="5" x14ac:dyDescent="0.2">
      <c r="A219" s="31" t="s">
        <v>136</v>
      </c>
      <c r="B219" s="31"/>
      <c r="C219" s="31"/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1">
        <v>1000</v>
      </c>
      <c r="P219" s="2">
        <v>7300</v>
      </c>
    </row>
    <row r="220" spans="1:16" s="3" customFormat="1" ht="15" customHeight="1" outlineLevel="5" x14ac:dyDescent="0.2">
      <c r="A220" s="31" t="s">
        <v>93</v>
      </c>
      <c r="B220" s="31"/>
      <c r="C220" s="31"/>
      <c r="D220" s="31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1">
        <v>1000</v>
      </c>
      <c r="P220" s="2">
        <v>6730</v>
      </c>
    </row>
    <row r="221" spans="1:16" s="3" customFormat="1" ht="15" customHeight="1" outlineLevel="5" x14ac:dyDescent="0.2">
      <c r="A221" s="31" t="s">
        <v>149</v>
      </c>
      <c r="B221" s="31"/>
      <c r="C221" s="31"/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1">
        <v>30000</v>
      </c>
      <c r="P221" s="2">
        <v>81000</v>
      </c>
    </row>
    <row r="222" spans="1:16" s="3" customFormat="1" ht="15" customHeight="1" outlineLevel="5" x14ac:dyDescent="0.2">
      <c r="A222" s="31" t="s">
        <v>97</v>
      </c>
      <c r="B222" s="31"/>
      <c r="C222" s="31"/>
      <c r="D222" s="31"/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1">
        <v>8000</v>
      </c>
      <c r="P222" s="2">
        <v>21600</v>
      </c>
    </row>
    <row r="223" spans="1:16" s="3" customFormat="1" ht="15" customHeight="1" outlineLevel="5" x14ac:dyDescent="0.2">
      <c r="A223" s="31" t="s">
        <v>150</v>
      </c>
      <c r="B223" s="31"/>
      <c r="C223" s="31"/>
      <c r="D223" s="31"/>
      <c r="E223" s="31"/>
      <c r="F223" s="31"/>
      <c r="G223" s="31"/>
      <c r="H223" s="31"/>
      <c r="I223" s="31"/>
      <c r="J223" s="31"/>
      <c r="K223" s="31"/>
      <c r="L223" s="31"/>
      <c r="M223" s="31"/>
      <c r="N223" s="31"/>
      <c r="O223" s="1">
        <v>1000</v>
      </c>
      <c r="P223" s="2">
        <v>11450</v>
      </c>
    </row>
    <row r="224" spans="1:16" s="3" customFormat="1" ht="15" customHeight="1" outlineLevel="4" x14ac:dyDescent="0.2">
      <c r="A224" s="32" t="s">
        <v>32</v>
      </c>
      <c r="B224" s="32"/>
      <c r="C224" s="32"/>
      <c r="D224" s="32"/>
      <c r="E224" s="32"/>
      <c r="F224" s="32"/>
      <c r="G224" s="32"/>
      <c r="H224" s="32"/>
      <c r="I224" s="32"/>
      <c r="J224" s="32"/>
      <c r="K224" s="32"/>
      <c r="L224" s="32"/>
      <c r="M224" s="32"/>
      <c r="N224" s="32"/>
      <c r="O224" s="6">
        <v>100</v>
      </c>
      <c r="P224" s="8">
        <v>840</v>
      </c>
    </row>
    <row r="225" spans="1:16" s="3" customFormat="1" ht="15" customHeight="1" outlineLevel="5" x14ac:dyDescent="0.2">
      <c r="A225" s="31" t="s">
        <v>39</v>
      </c>
      <c r="B225" s="31"/>
      <c r="C225" s="31"/>
      <c r="D225" s="31"/>
      <c r="E225" s="31"/>
      <c r="F225" s="31"/>
      <c r="G225" s="31"/>
      <c r="H225" s="31"/>
      <c r="I225" s="31"/>
      <c r="J225" s="31"/>
      <c r="K225" s="31"/>
      <c r="L225" s="31"/>
      <c r="M225" s="31"/>
      <c r="N225" s="31"/>
      <c r="O225" s="6">
        <v>750</v>
      </c>
      <c r="P225" s="2">
        <v>9832.5</v>
      </c>
    </row>
  </sheetData>
  <mergeCells count="229">
    <mergeCell ref="A224:N224"/>
    <mergeCell ref="A225:N225"/>
    <mergeCell ref="A222:N222"/>
    <mergeCell ref="A223:N223"/>
    <mergeCell ref="A218:N218"/>
    <mergeCell ref="A219:N219"/>
    <mergeCell ref="A220:N220"/>
    <mergeCell ref="A221:N221"/>
    <mergeCell ref="A215:N215"/>
    <mergeCell ref="A216:N216"/>
    <mergeCell ref="A217:N217"/>
    <mergeCell ref="A212:N212"/>
    <mergeCell ref="A213:N213"/>
    <mergeCell ref="A214:N214"/>
    <mergeCell ref="A208:N208"/>
    <mergeCell ref="A209:N209"/>
    <mergeCell ref="A210:N210"/>
    <mergeCell ref="A211:N211"/>
    <mergeCell ref="A204:N204"/>
    <mergeCell ref="A205:N205"/>
    <mergeCell ref="A206:N206"/>
    <mergeCell ref="A207:N207"/>
    <mergeCell ref="A202:N202"/>
    <mergeCell ref="A203:N203"/>
    <mergeCell ref="A200:N200"/>
    <mergeCell ref="A201:N201"/>
    <mergeCell ref="A198:N198"/>
    <mergeCell ref="A199:N199"/>
    <mergeCell ref="A194:N194"/>
    <mergeCell ref="A195:N195"/>
    <mergeCell ref="A196:N196"/>
    <mergeCell ref="A197:N197"/>
    <mergeCell ref="A191:N191"/>
    <mergeCell ref="A192:N192"/>
    <mergeCell ref="A193:N193"/>
    <mergeCell ref="A187:N187"/>
    <mergeCell ref="A188:N188"/>
    <mergeCell ref="A189:N189"/>
    <mergeCell ref="A190:N190"/>
    <mergeCell ref="A184:N184"/>
    <mergeCell ref="A185:N185"/>
    <mergeCell ref="A186:N186"/>
    <mergeCell ref="A181:N181"/>
    <mergeCell ref="A182:N182"/>
    <mergeCell ref="A183:N183"/>
    <mergeCell ref="A177:N177"/>
    <mergeCell ref="A178:N178"/>
    <mergeCell ref="A179:N179"/>
    <mergeCell ref="A180:N180"/>
    <mergeCell ref="A175:N175"/>
    <mergeCell ref="A176:N176"/>
    <mergeCell ref="A172:N172"/>
    <mergeCell ref="A173:N173"/>
    <mergeCell ref="A174:N174"/>
    <mergeCell ref="A168:N168"/>
    <mergeCell ref="A169:N169"/>
    <mergeCell ref="A170:N170"/>
    <mergeCell ref="A171:N171"/>
    <mergeCell ref="A165:N165"/>
    <mergeCell ref="A166:N166"/>
    <mergeCell ref="A167:N167"/>
    <mergeCell ref="A162:N162"/>
    <mergeCell ref="A163:N163"/>
    <mergeCell ref="A164:N164"/>
    <mergeCell ref="A158:N158"/>
    <mergeCell ref="A159:N159"/>
    <mergeCell ref="A160:N160"/>
    <mergeCell ref="A161:N161"/>
    <mergeCell ref="A155:N155"/>
    <mergeCell ref="A156:N156"/>
    <mergeCell ref="A157:N157"/>
    <mergeCell ref="A152:N152"/>
    <mergeCell ref="A153:N153"/>
    <mergeCell ref="A154:N154"/>
    <mergeCell ref="A147:N147"/>
    <mergeCell ref="A148:N148"/>
    <mergeCell ref="A150:N150"/>
    <mergeCell ref="A151:N151"/>
    <mergeCell ref="A143:N143"/>
    <mergeCell ref="A144:N144"/>
    <mergeCell ref="A145:N145"/>
    <mergeCell ref="A146:N146"/>
    <mergeCell ref="A149:N149"/>
    <mergeCell ref="A140:N140"/>
    <mergeCell ref="A141:N141"/>
    <mergeCell ref="A142:N142"/>
    <mergeCell ref="A136:N136"/>
    <mergeCell ref="A137:N137"/>
    <mergeCell ref="A138:N138"/>
    <mergeCell ref="A139:N139"/>
    <mergeCell ref="A134:N134"/>
    <mergeCell ref="A135:N135"/>
    <mergeCell ref="A131:N131"/>
    <mergeCell ref="A132:N132"/>
    <mergeCell ref="A133:N133"/>
    <mergeCell ref="A127:N127"/>
    <mergeCell ref="A128:N128"/>
    <mergeCell ref="A129:N129"/>
    <mergeCell ref="A130:N130"/>
    <mergeCell ref="A123:N123"/>
    <mergeCell ref="A124:N124"/>
    <mergeCell ref="A125:N125"/>
    <mergeCell ref="A126:N126"/>
    <mergeCell ref="A122:N122"/>
    <mergeCell ref="A117:N117"/>
    <mergeCell ref="A116:N116"/>
    <mergeCell ref="A111:N111"/>
    <mergeCell ref="A106:N106"/>
    <mergeCell ref="A107:N107"/>
    <mergeCell ref="A108:N108"/>
    <mergeCell ref="A109:N109"/>
    <mergeCell ref="A110:N110"/>
    <mergeCell ref="A112:N112"/>
    <mergeCell ref="A113:N113"/>
    <mergeCell ref="A114:N114"/>
    <mergeCell ref="A115:N115"/>
    <mergeCell ref="A118:N118"/>
    <mergeCell ref="A119:N119"/>
    <mergeCell ref="A120:N120"/>
    <mergeCell ref="A121:N121"/>
    <mergeCell ref="A104:N104"/>
    <mergeCell ref="A105:N105"/>
    <mergeCell ref="A101:N101"/>
    <mergeCell ref="A102:N102"/>
    <mergeCell ref="A103:N103"/>
    <mergeCell ref="A98:N98"/>
    <mergeCell ref="A99:N99"/>
    <mergeCell ref="A100:N100"/>
    <mergeCell ref="A97:N97"/>
    <mergeCell ref="A95:N95"/>
    <mergeCell ref="A96:N96"/>
    <mergeCell ref="A93:N93"/>
    <mergeCell ref="A94:N94"/>
    <mergeCell ref="A92:N92"/>
    <mergeCell ref="A89:N89"/>
    <mergeCell ref="A90:N90"/>
    <mergeCell ref="A91:N91"/>
    <mergeCell ref="A85:N85"/>
    <mergeCell ref="A86:N86"/>
    <mergeCell ref="A87:N87"/>
    <mergeCell ref="A88:N88"/>
    <mergeCell ref="A81:N81"/>
    <mergeCell ref="A82:N82"/>
    <mergeCell ref="A83:N83"/>
    <mergeCell ref="A84:N84"/>
    <mergeCell ref="A69:N69"/>
    <mergeCell ref="A70:N70"/>
    <mergeCell ref="A71:N71"/>
    <mergeCell ref="A72:N72"/>
    <mergeCell ref="A73:N73"/>
    <mergeCell ref="A74:N74"/>
    <mergeCell ref="A75:N75"/>
    <mergeCell ref="A76:N76"/>
    <mergeCell ref="A77:N77"/>
    <mergeCell ref="A78:N78"/>
    <mergeCell ref="A79:N79"/>
    <mergeCell ref="A80:N80"/>
    <mergeCell ref="A52:N52"/>
    <mergeCell ref="A53:N53"/>
    <mergeCell ref="A54:N54"/>
    <mergeCell ref="A55:N55"/>
    <mergeCell ref="A56:N56"/>
    <mergeCell ref="A66:N66"/>
    <mergeCell ref="A67:N67"/>
    <mergeCell ref="A68:N68"/>
    <mergeCell ref="A63:N63"/>
    <mergeCell ref="A64:N64"/>
    <mergeCell ref="A65:N65"/>
    <mergeCell ref="A59:N59"/>
    <mergeCell ref="A60:N60"/>
    <mergeCell ref="A61:N61"/>
    <mergeCell ref="A62:N62"/>
    <mergeCell ref="A22:N22"/>
    <mergeCell ref="A57:N57"/>
    <mergeCell ref="A58:N58"/>
    <mergeCell ref="A31:N31"/>
    <mergeCell ref="A32:N32"/>
    <mergeCell ref="A33:N33"/>
    <mergeCell ref="A34:N34"/>
    <mergeCell ref="A35:N35"/>
    <mergeCell ref="A36:N36"/>
    <mergeCell ref="A37:N37"/>
    <mergeCell ref="A38:N38"/>
    <mergeCell ref="A39:N39"/>
    <mergeCell ref="A40:N40"/>
    <mergeCell ref="A41:N41"/>
    <mergeCell ref="A42:N42"/>
    <mergeCell ref="A43:N43"/>
    <mergeCell ref="A44:N44"/>
    <mergeCell ref="A45:N45"/>
    <mergeCell ref="A46:N46"/>
    <mergeCell ref="A47:N47"/>
    <mergeCell ref="A48:N48"/>
    <mergeCell ref="A49:N49"/>
    <mergeCell ref="A50:N50"/>
    <mergeCell ref="A51:N51"/>
    <mergeCell ref="A23:N23"/>
    <mergeCell ref="A24:N24"/>
    <mergeCell ref="A25:N25"/>
    <mergeCell ref="A26:N26"/>
    <mergeCell ref="A27:N27"/>
    <mergeCell ref="A28:N28"/>
    <mergeCell ref="A29:N29"/>
    <mergeCell ref="A30:N30"/>
    <mergeCell ref="A1:N1"/>
    <mergeCell ref="A7:N7"/>
    <mergeCell ref="A8:N8"/>
    <mergeCell ref="A9:N9"/>
    <mergeCell ref="A10:N10"/>
    <mergeCell ref="A11:N11"/>
    <mergeCell ref="A12:N12"/>
    <mergeCell ref="A13:N13"/>
    <mergeCell ref="A14:N14"/>
    <mergeCell ref="A15:N15"/>
    <mergeCell ref="A16:N16"/>
    <mergeCell ref="A17:N17"/>
    <mergeCell ref="A18:N18"/>
    <mergeCell ref="A19:N19"/>
    <mergeCell ref="A20:N20"/>
    <mergeCell ref="A21:N21"/>
    <mergeCell ref="O1:O4"/>
    <mergeCell ref="P1:P4"/>
    <mergeCell ref="A2:N2"/>
    <mergeCell ref="A3:N3"/>
    <mergeCell ref="A4:E4"/>
    <mergeCell ref="F4:H4"/>
    <mergeCell ref="I4:K4"/>
    <mergeCell ref="A5:N5"/>
    <mergeCell ref="A6:N6"/>
  </mergeCells>
  <pageMargins left="0.39370078740157483" right="0.39370078740157483" top="0.39370078740157483" bottom="0.39370078740157483" header="0" footer="0"/>
  <pageSetup paperSize="9" fitToHeight="0" pageOrder="overThenDown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maksb</cp:lastModifiedBy>
  <dcterms:modified xsi:type="dcterms:W3CDTF">2026-03-01T11:40:25Z</dcterms:modified>
</cp:coreProperties>
</file>