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Пользователь\Desktop\"/>
    </mc:Choice>
  </mc:AlternateContent>
  <bookViews>
    <workbookView xWindow="0" yWindow="0" windowWidth="11400" windowHeight="5895"/>
  </bookViews>
  <sheets>
    <sheet name="Лист_1" sheetId="1" r:id="rId1"/>
  </sheets>
  <calcPr calcId="162913" refMode="R1C1"/>
</workbook>
</file>

<file path=xl/calcChain.xml><?xml version="1.0" encoding="utf-8"?>
<calcChain xmlns="http://schemas.openxmlformats.org/spreadsheetml/2006/main">
  <c r="P6" i="1" l="1"/>
  <c r="T27" i="1" l="1"/>
  <c r="T9" i="1" l="1"/>
  <c r="T10" i="1"/>
  <c r="T12" i="1"/>
  <c r="T7" i="1"/>
  <c r="O6" i="1"/>
  <c r="P116" i="1"/>
  <c r="O116" i="1" l="1"/>
  <c r="P109" i="1" l="1"/>
  <c r="O109" i="1"/>
  <c r="T17" i="1" l="1"/>
  <c r="T19" i="1" l="1"/>
  <c r="T28" i="1" l="1"/>
  <c r="T26" i="1"/>
  <c r="T16" i="1"/>
  <c r="T15" i="1" l="1"/>
  <c r="T14" i="1"/>
  <c r="T6" i="1" l="1"/>
  <c r="T29" i="1" s="1"/>
</calcChain>
</file>

<file path=xl/sharedStrings.xml><?xml version="1.0" encoding="utf-8"?>
<sst xmlns="http://schemas.openxmlformats.org/spreadsheetml/2006/main" count="322" uniqueCount="253">
  <si>
    <t>Контрагент</t>
  </si>
  <si>
    <t>Количество</t>
  </si>
  <si>
    <t>Сумма реализации</t>
  </si>
  <si>
    <t>Группа</t>
  </si>
  <si>
    <t>Итого</t>
  </si>
  <si>
    <t>Агро-Колядичи ОАО</t>
  </si>
  <si>
    <t>Асид Баф</t>
  </si>
  <si>
    <t>Агро-Оберег ОАО</t>
  </si>
  <si>
    <t>ККК-603р       ДРГ 63-030-1848 /04/0904</t>
  </si>
  <si>
    <t>ККК-604р       ДРГ 02-030-0445 /03/0904</t>
  </si>
  <si>
    <t>Агро-Фуд РТФ ООО</t>
  </si>
  <si>
    <t>Премикс Д-П60-3 для высокопродуктивных коров       ДРГ 63-020-093 /02/1304</t>
  </si>
  <si>
    <t>Премикс Д-ПКР-2 для молодняка КРС старше 3-х месяцев       ДРГ 02-010-037 /01/1304</t>
  </si>
  <si>
    <t>Премикс Д-ПКР-2 для молодняка КРС старше 3-х месяцев       ДРГ 02-050-0243 /02/1004</t>
  </si>
  <si>
    <t>АгроПавлово СХУП</t>
  </si>
  <si>
    <t>ККК-603р       ДРГ 61-150-145 /05/1804</t>
  </si>
  <si>
    <t>ККК-603р       ДРГ 63-020-1775 /03/1804</t>
  </si>
  <si>
    <t>ККК-603р       ДРГ 63-070-0266 /02/1803</t>
  </si>
  <si>
    <t>ККК-603р       ДРГ 63-100-0451 /03/2004</t>
  </si>
  <si>
    <t>Александрийское ОАО</t>
  </si>
  <si>
    <t>Алникорпродукт Вертелишки ЧПУП</t>
  </si>
  <si>
    <t>АМАГРУПП ЧУП</t>
  </si>
  <si>
    <t>НутриКАБ</t>
  </si>
  <si>
    <t>Бабушкино подворье ОАО</t>
  </si>
  <si>
    <t>Батчи ОАО</t>
  </si>
  <si>
    <t>Бегомльское ОАО</t>
  </si>
  <si>
    <t>БелИнтерГен-агро ООО</t>
  </si>
  <si>
    <t>Беловежский  ОАО</t>
  </si>
  <si>
    <t>Белпромприбор ЗАО</t>
  </si>
  <si>
    <t>БНБК ЗАО</t>
  </si>
  <si>
    <t>Валище ОАО</t>
  </si>
  <si>
    <t>Воронецкий КСУП (СПК им.Воронецкого)</t>
  </si>
  <si>
    <t>Восходящая заря СПК</t>
  </si>
  <si>
    <t>Гарантагровест ООО</t>
  </si>
  <si>
    <t>ККК-603р       ДРГ 63-020-1747 /01/0904</t>
  </si>
  <si>
    <t>ККК-603р       ДРГ 63-020-1748 /06/2704</t>
  </si>
  <si>
    <t>ККК-604р       ДРГ 02-010-053 /08/2704</t>
  </si>
  <si>
    <t>ККК-605р       ДРГ 01-050-0243 /02/0904</t>
  </si>
  <si>
    <t>ККК-605р       ДРГ 01-050-027 /07/2704</t>
  </si>
  <si>
    <t>Концентрат кормовой балансирующий "Оптифид баланс"       ДРГ 61-050-1068 /01/0104</t>
  </si>
  <si>
    <t>Концентрат кормовой балансирующий "Оптифид баланс"       ДРГ 61-050-1069 /01/0204</t>
  </si>
  <si>
    <t>Гольшаны КСУП</t>
  </si>
  <si>
    <t>ККК-603р       ДРГ 61-100-0811 /08/2004</t>
  </si>
  <si>
    <t>ККК-603р       ДРГ 61-150-0273 /04/2004</t>
  </si>
  <si>
    <t>ККК-603р       ДРГ 63-010-8158 /01/2304</t>
  </si>
  <si>
    <t>ККК-603р       ДРГ 63-010-8158 /05/2004</t>
  </si>
  <si>
    <t>ККК-603р       ДРГ 63-050-033 /07/2004</t>
  </si>
  <si>
    <t>ККК-604р       ДРГ 02-010-0513 /06/2004</t>
  </si>
  <si>
    <t>ККК-605г       01500137-003 /05/2803</t>
  </si>
  <si>
    <t>Городилово ОАО</t>
  </si>
  <si>
    <t>ККК-603р       ДРГ 61-150-031 /01/1804</t>
  </si>
  <si>
    <t>ККК-603р       ДРГ 61-150-031 /01/2603</t>
  </si>
  <si>
    <t>ККК-603р       ДРГ 63-010-8652 /02/0804</t>
  </si>
  <si>
    <t>Грушево-МИЛК Сельскохозяйственное унитарное предприятие</t>
  </si>
  <si>
    <t>Гудевичи ЗАО</t>
  </si>
  <si>
    <t>ККК-603р       ДРГ 63-020-1776 /03/1404</t>
  </si>
  <si>
    <t>ККК-603р       ДРГ 63-030-1854 /06/1804</t>
  </si>
  <si>
    <t>ККК-603р       ДРГ 63-050-0452 /02/2004</t>
  </si>
  <si>
    <t>ККК-604р       ДРГ 02-010-0513 /02/1504</t>
  </si>
  <si>
    <t>ККК-604р       ДРГ 02-010-0513 /04/0404</t>
  </si>
  <si>
    <t>ККК-603р       ДРГ 63-020-1775 /01/0604</t>
  </si>
  <si>
    <t>ККК-603р       ДРГ 63-030-1854 /02/0404</t>
  </si>
  <si>
    <t>Дрогичин Агро ФХ</t>
  </si>
  <si>
    <t>ККК-603р       ДРГ 63-010-8154 /02/2402</t>
  </si>
  <si>
    <t>ККК-604р       ДРГ 02-010-0411 /05/1303</t>
  </si>
  <si>
    <t>Журавлиное ОАО</t>
  </si>
  <si>
    <t>Западный СГЦ ОАО</t>
  </si>
  <si>
    <t>ККК-603р       63015003-920 /03/1704</t>
  </si>
  <si>
    <t>ККК-605г       01500137-003 /01/1604</t>
  </si>
  <si>
    <t>ККК-605г       01500137-003 /04/0803</t>
  </si>
  <si>
    <t>КормВетАгро ООО</t>
  </si>
  <si>
    <t>Концентрат кормовой балансирующий "Оптифид баланс"       ДРГ 61-100-1512 /03/0804</t>
  </si>
  <si>
    <t>Кормикс ЧП</t>
  </si>
  <si>
    <t>Краснодворцы ОАО</t>
  </si>
  <si>
    <t>ККК-603р       ДРГ 63-010-8185 /03/0404</t>
  </si>
  <si>
    <t>ККК-603р       ДРГ 63-010-8187 /08/0704</t>
  </si>
  <si>
    <t>Красный пищевик-АгроСервис ОАО  Пищевик-Агро Филиал</t>
  </si>
  <si>
    <t>ККК-603р       ДРГ 63-020-1757 /07/2503</t>
  </si>
  <si>
    <t>ККК-603р       ДРГ 63-070-0267 /08/2503</t>
  </si>
  <si>
    <t>ККК-603р       ДРГ 63-300-0052 /10/2503</t>
  </si>
  <si>
    <t>ККК-604р       ДРГ 02-010-0522 /04/2703</t>
  </si>
  <si>
    <t>Концентрат кормовой балансирующий "Оптифид баланс"       ДРГ 61-100-1531 /09/2503</t>
  </si>
  <si>
    <t>Лань-Несвиж ОАО</t>
  </si>
  <si>
    <t>МилкАгро УП</t>
  </si>
  <si>
    <t>МТЗ ОАО</t>
  </si>
  <si>
    <t>ККК-603р       ДРГ 63-160-0171 /03/1103</t>
  </si>
  <si>
    <t>ККК-603р       ДРГ 63-300-0052 /02/2703</t>
  </si>
  <si>
    <t>ККК-603р       ДРГ 63-070-027 /01/0704</t>
  </si>
  <si>
    <t>Несвижские Островки ОАО</t>
  </si>
  <si>
    <t>ККК-603р       ДРГ 63-010-857 /05/2703</t>
  </si>
  <si>
    <t>ККК-603р       ДРГ 63-070-027 /02/2803</t>
  </si>
  <si>
    <t>Новая жизнь ОАО</t>
  </si>
  <si>
    <t>ККК-603р       ДРГ 63-010-8623 /14/2901</t>
  </si>
  <si>
    <t>ККК-603р       ДРГ 63-010-8624 /06/2503</t>
  </si>
  <si>
    <t>ККК-603р       ДРГ 63-160-0171 /01/1602</t>
  </si>
  <si>
    <t>НОУ-ТИЛЛ Органик ООО</t>
  </si>
  <si>
    <t>Озеры СПК Гродненская обл.</t>
  </si>
  <si>
    <t>Ополь-Агро ОАО</t>
  </si>
  <si>
    <t>Осовецкий СПК</t>
  </si>
  <si>
    <t>ККК-603р       ДРГ 63-010-8614 /06/1404</t>
  </si>
  <si>
    <t>ККК-604р       ДРГ 02-010-0517 /07/1404</t>
  </si>
  <si>
    <t>ПК им. Кремко</t>
  </si>
  <si>
    <t>ККК-603р       ДРГ 63-020-1822 /01/2404</t>
  </si>
  <si>
    <t>ККК-603р       ДРГ 63-050-0463 /05/2304</t>
  </si>
  <si>
    <t>ККК-604р       ДРГ 02-010-054 /10/2304</t>
  </si>
  <si>
    <t>Полесье-Агроинвест СУП</t>
  </si>
  <si>
    <t>ККК-604р       ДРГ 02-010-0411 /01/2101</t>
  </si>
  <si>
    <t>ККК-605р       ДРГ 01-050-0233 /06/0404</t>
  </si>
  <si>
    <t>Рогознянский ОАО Жабинковский</t>
  </si>
  <si>
    <t>ККК-604р       ДРГ 02-010-0513 /05/0404</t>
  </si>
  <si>
    <t>Савушкин - Луч СУП</t>
  </si>
  <si>
    <t>ККК-603р       ДРГ 63-040-0143 /11/2704</t>
  </si>
  <si>
    <t>ККК-603р       ДРГ 63-050-0428 /10/2704</t>
  </si>
  <si>
    <t>ККК-603р       ДРГ 63-050-0426 /02/0704</t>
  </si>
  <si>
    <t>Сеньковщина ОАО</t>
  </si>
  <si>
    <t>ККК-603р       ДРГ 63-070-0269 /07/2304</t>
  </si>
  <si>
    <t>ККК-603р       ДРГ 63-300-0052 /06/2304</t>
  </si>
  <si>
    <t>СЛУЦКИЙ ЗООВЕТСНАБ Унитарное предприятие</t>
  </si>
  <si>
    <t>Снов Агрокомбинат СПК</t>
  </si>
  <si>
    <t>Совхоз Доброволец  УКСХП</t>
  </si>
  <si>
    <t>ККК-603р       ДРГ 61-150-0294 /02/1804</t>
  </si>
  <si>
    <t>ККК-603р       ДРГ 63-030-1849 /04/1804</t>
  </si>
  <si>
    <t>ККК-604р       ДРГ 02-030-0447 /07/1804</t>
  </si>
  <si>
    <t>ККК-604р       ДРГ 02-030-0449 /07/2404</t>
  </si>
  <si>
    <t>Концентрат кормовой балансирующий "Оптифид баланс"       ДРГ 61-050-1063 /03/2304</t>
  </si>
  <si>
    <t>Концентрат кормовой балансирующий "Оптифид баланс"       ДРГ 61-050-1067 /01/2703</t>
  </si>
  <si>
    <t>Концентрат кормовой балансирующий "Оптифид баланс"       ДРГ 61-050-1067 /02/0104</t>
  </si>
  <si>
    <t>Концентрат кормовой балансирующий "Оптифид баланс"       ДРГ 61-050-1067 /02/0204</t>
  </si>
  <si>
    <t>Спорово ОАО</t>
  </si>
  <si>
    <t>Телеханы-агро ОАО</t>
  </si>
  <si>
    <t>ККК-603р       ДРГ 63-010-018 /07/2904</t>
  </si>
  <si>
    <t>ККК-603р       ДРГ 63-010-019 /08/2904</t>
  </si>
  <si>
    <t>ККК-605р       ДРГ 01-025-017 /06/2904</t>
  </si>
  <si>
    <t>Тышковичи-Агро ОАО</t>
  </si>
  <si>
    <t>ККК-604р       ДРГ 02-030-0446 /06/0904</t>
  </si>
  <si>
    <t>Федорский СПК</t>
  </si>
  <si>
    <t>Шени-агропродукт ОАО</t>
  </si>
  <si>
    <t>Концентрат кормовой энергетический "Аминолак"       ДРГ 61-100-075 /03/1004</t>
  </si>
  <si>
    <t>ЭффектИнвест ОАО</t>
  </si>
  <si>
    <t>ККК-603р       ДРГ 63-010-7943 /01/1504</t>
  </si>
  <si>
    <t>ККК-603р       ДРГ 63-010-7945 /01/0804</t>
  </si>
  <si>
    <t>Концентрат кормовой балансирующий "Оптифид баланс"       ДРГ 61-100-1512 /01/1004</t>
  </si>
  <si>
    <t>Концентрат кормовой балансирующий "Оптифид баланс"       ДРГ 61-100-1512 /10/2404</t>
  </si>
  <si>
    <t>Концентрат кормовой энергетический "Аминолак"       ДРГ 61-100-072 /03/1602</t>
  </si>
  <si>
    <t>Концентрат кормовой энергетический "Аминолак"       ДРГ 61-100-0741 /07/0704</t>
  </si>
  <si>
    <t xml:space="preserve">     Клостат НС SP сухой</t>
  </si>
  <si>
    <t xml:space="preserve">                           Алкерфид Антитокс</t>
  </si>
  <si>
    <t xml:space="preserve">                           Оптима 100</t>
  </si>
  <si>
    <t xml:space="preserve">                           Клостат НС SP сухой</t>
  </si>
  <si>
    <t xml:space="preserve">                           Асид Баф</t>
  </si>
  <si>
    <t xml:space="preserve">                           Комбикорм-концентрат для телят в возрасте до 3 месяцев стартерный " Кальвостарт"       01100088-002 /02/0804</t>
  </si>
  <si>
    <t xml:space="preserve">                           ККК-603р       ДРГ 63-300-0063 /03/2803</t>
  </si>
  <si>
    <t xml:space="preserve">                           НутриКАБ</t>
  </si>
  <si>
    <t xml:space="preserve">                           ККК-604р       ДРГ 02-030-044 /05/1404</t>
  </si>
  <si>
    <t xml:space="preserve">                           ККК-603р       ДРГ 63-030-1645 /04/1404</t>
  </si>
  <si>
    <t xml:space="preserve">                           ХолиДЖЕМ</t>
  </si>
  <si>
    <t xml:space="preserve">                           Концентрат кормовой энергетический "Аминолак"       ДРГ 61-100-0701 /01/1103</t>
  </si>
  <si>
    <t xml:space="preserve">                           Концентрат кормовой энергетический "Аминолак"       ДРГ 61-100-0701 /02/2404</t>
  </si>
  <si>
    <t xml:space="preserve">                            Оптима 100</t>
  </si>
  <si>
    <t xml:space="preserve">                            Клостат НС SP сухой</t>
  </si>
  <si>
    <t xml:space="preserve">                            Алкерфид Антитокс</t>
  </si>
  <si>
    <t xml:space="preserve">                            Комбикорм-концентрат для телят в возрасте до 3 месяцев стартерный " Кальвостарт"       01100087-004 /01/1403</t>
  </si>
  <si>
    <t xml:space="preserve">                            Концентрат кормовой балансирующий "Оптифид баланс"       ДРГ 61-100-1512 /03/0804</t>
  </si>
  <si>
    <t xml:space="preserve">                            Сафволл</t>
  </si>
  <si>
    <t xml:space="preserve">                            Актисаф SC 47 STD</t>
  </si>
  <si>
    <t xml:space="preserve">                            ЛизиКапс</t>
  </si>
  <si>
    <t xml:space="preserve">                            Кессент Me</t>
  </si>
  <si>
    <t xml:space="preserve">                            МетиоКапс</t>
  </si>
  <si>
    <t xml:space="preserve">                            Асид Баф</t>
  </si>
  <si>
    <t xml:space="preserve">                            НутриКАБ</t>
  </si>
  <si>
    <t xml:space="preserve">                            Комбикорм-концентрат для телят в возрасте до 3 месяцев стартерный " Кальвостарт"       01100088-002 /02/1403</t>
  </si>
  <si>
    <t xml:space="preserve">                            ККК-605г       01500137-003 /05/2803</t>
  </si>
  <si>
    <t xml:space="preserve">                          Клостат НС SP сухой</t>
  </si>
  <si>
    <t xml:space="preserve">                          Оптима 100</t>
  </si>
  <si>
    <t xml:space="preserve">     Алкерфид Антитокс</t>
  </si>
  <si>
    <t xml:space="preserve">                          Комбикорм-концентрат для телят в возрасте до 3 месяцев стартерный " Кальвостарт"       01100088-002 /02/0804</t>
  </si>
  <si>
    <t xml:space="preserve">                          Алкерфид Антитокс</t>
  </si>
  <si>
    <t xml:space="preserve">                          Сафволл</t>
  </si>
  <si>
    <t xml:space="preserve">                          Комбикорм-концентрат для телят в возрасте до 3 месяцев стартерный " Кальвостарт"       01100088-002 /02/1403</t>
  </si>
  <si>
    <t>Дрогичин</t>
  </si>
  <si>
    <t>ККК</t>
  </si>
  <si>
    <t>Премиксы</t>
  </si>
  <si>
    <t>Оптифид 10%</t>
  </si>
  <si>
    <t>Оптифид 5%</t>
  </si>
  <si>
    <t>Оптифид интенсив откорм</t>
  </si>
  <si>
    <t>Аминолак</t>
  </si>
  <si>
    <t xml:space="preserve">Здоровая печень </t>
  </si>
  <si>
    <t>Оптима 100</t>
  </si>
  <si>
    <t>Клостат НС SP сухой</t>
  </si>
  <si>
    <t>Актисаф SC 47 STD</t>
  </si>
  <si>
    <t>Алкерфид Антитокс</t>
  </si>
  <si>
    <t>Сафволл</t>
  </si>
  <si>
    <t>ХолиДЖЕМ</t>
  </si>
  <si>
    <t>Кессент Me</t>
  </si>
  <si>
    <t>Консулагро</t>
  </si>
  <si>
    <t>605г</t>
  </si>
  <si>
    <t>Кальвостарт</t>
  </si>
  <si>
    <t xml:space="preserve">                         КемТРЕЙС пропионат хрома 0,4% сухой</t>
  </si>
  <si>
    <t xml:space="preserve">                         Клостат НС SP сухой</t>
  </si>
  <si>
    <t xml:space="preserve"> ККК-604р       ДРГ 02-030-045 /03/2703</t>
  </si>
  <si>
    <t xml:space="preserve">                         Оптима 100</t>
  </si>
  <si>
    <t>ЛизиКапс</t>
  </si>
  <si>
    <t>МетиоКапс</t>
  </si>
  <si>
    <t xml:space="preserve">                            Концентрат кормовой балансирующий "Оптифид интенсив откорм" 02-050-0405</t>
  </si>
  <si>
    <t xml:space="preserve">Речицкий КХП ОАО </t>
  </si>
  <si>
    <t>Концентрат кормовой балансирующий "Оптифид интенсив откорм" 02-050-0401</t>
  </si>
  <si>
    <t xml:space="preserve">     Концентрат кормовой профилактический "Здоровая печень" 63-025-0273</t>
  </si>
  <si>
    <t>КемТРЕЙС</t>
  </si>
  <si>
    <t xml:space="preserve">                            ККК-603р   ДРГ 63-020-211 /01/1404</t>
  </si>
  <si>
    <t xml:space="preserve">                            ККК-605р   ДРГ 01-050-200 /09/0404</t>
  </si>
  <si>
    <t>ОАО "Барановичхлебопродукт"</t>
  </si>
  <si>
    <t xml:space="preserve">                            Концентрат кормовой балансирующий "Оптифид баланс"   ДРГ 61-100-240/01/1303</t>
  </si>
  <si>
    <t>филиал Будча ОАО “Барановичхлебопродукт"</t>
  </si>
  <si>
    <t xml:space="preserve">                            ККК-605г       01500138-200 /31/1502</t>
  </si>
  <si>
    <t xml:space="preserve">                            ККК-605г       01500138-200 /31/2004</t>
  </si>
  <si>
    <t xml:space="preserve">                            Концентрат кормовой профилактический "Здоровая печень"   ДРГ 63-025-200 /06/1004</t>
  </si>
  <si>
    <t>Доманово СПУ УП "Брестоблгаз"</t>
  </si>
  <si>
    <t>Шайтерово</t>
  </si>
  <si>
    <t>АФТАБ</t>
  </si>
  <si>
    <t xml:space="preserve">                            ККК-603р   ДРГ 63-010-200 /04/2704</t>
  </si>
  <si>
    <t xml:space="preserve">                            ККК-603р   ДРГ 63-010-220 /03/2704</t>
  </si>
  <si>
    <t xml:space="preserve">                            ККК-603р   ДРГ 61-100-210 /07/0404</t>
  </si>
  <si>
    <t>СПК им. Деньщикова</t>
  </si>
  <si>
    <t xml:space="preserve">                            ККК-603р   ДРГ 63-030-210 /08/0404</t>
  </si>
  <si>
    <t>Ружаны Агро</t>
  </si>
  <si>
    <t xml:space="preserve">                            ККК-603р   ДРГ 63-160-200 /04/1304</t>
  </si>
  <si>
    <t>АГРОВЕТГАРАНТ</t>
  </si>
  <si>
    <t xml:space="preserve">                            ККК-603р   ДРГ 63-160-240 /07/1004</t>
  </si>
  <si>
    <t xml:space="preserve">                            Концентрат кормовой энергетический "Аминолак"   ДРГ 61-100-220 /03/1703</t>
  </si>
  <si>
    <t xml:space="preserve">Остромечево </t>
  </si>
  <si>
    <t xml:space="preserve">                            ККК-603р   ДРГ 61-150-200 /02/2504</t>
  </si>
  <si>
    <t xml:space="preserve">                            ККК-603р   ДРГ 61-150-200 /03/3103</t>
  </si>
  <si>
    <t>Доброселецкий</t>
  </si>
  <si>
    <t xml:space="preserve">                            ККК-603р   ДРГ 63-050-200 /01/3103</t>
  </si>
  <si>
    <t xml:space="preserve">                            ККК-603р   ДРГ 63-050-200 /05/2704</t>
  </si>
  <si>
    <t xml:space="preserve">                            ККК-603р   ДРГ 63-160-200 /03/2504</t>
  </si>
  <si>
    <t xml:space="preserve">                            ККК-603р   ДРГ 63-300-200 /02/1404</t>
  </si>
  <si>
    <t>Демброво</t>
  </si>
  <si>
    <t>Агро-сад Рассвет</t>
  </si>
  <si>
    <t xml:space="preserve">                            Концентрат кормовой балансирующий "Оптифид баланс"   ДРГ 61-050-200 /09/2102</t>
  </si>
  <si>
    <t xml:space="preserve">                            ККК-603р   ДРГ 63-030-200 /09/2004</t>
  </si>
  <si>
    <t>Чернавчицы</t>
  </si>
  <si>
    <t>Агро-Детковичи</t>
  </si>
  <si>
    <t xml:space="preserve">                            ККК-604р   ДРГ 02-030-200 /08/1004</t>
  </si>
  <si>
    <t xml:space="preserve">Агро-Детковичи </t>
  </si>
  <si>
    <t>Победа</t>
  </si>
  <si>
    <t>Коссово</t>
  </si>
  <si>
    <t xml:space="preserve">                            Концентрат кормовой энергетический "Аминолак"   ДРГ 61-100-220 /08/0603</t>
  </si>
  <si>
    <t>Агро-Пелище</t>
  </si>
  <si>
    <t xml:space="preserve">                            ККК-603р   ДРГ 63-010-210 /02/3103</t>
  </si>
  <si>
    <t xml:space="preserve">                            ККК-603р   ДРГ 63-050-200 /06/1203</t>
  </si>
  <si>
    <t>Лядецкий</t>
  </si>
  <si>
    <t xml:space="preserve">                            ККК-603р   ДРГ 63-300-200 /02/0902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</si>
</sst>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8"/>
      <name val="Arial"/>
    </font>
    <font>
      <sz val="8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/>
      <top style="thin">
        <color rgb="FFE6E6E6"/>
      </top>
      <bottom/>
      <diagonal/>
    </border>
    <border>
      <left/>
      <right/>
      <top style="thin">
        <color rgb="FFE6E6E6"/>
      </top>
      <bottom/>
      <diagonal/>
    </border>
    <border>
      <left/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3" fontId="2" fillId="0" borderId="0" xfId="0" applyNumberFormat="1" applyFont="1" applyAlignment="1">
      <alignment horizontal="right" vertical="top"/>
    </xf>
    <xf numFmtId="4" fontId="2" fillId="0" borderId="0" xfId="0" applyNumberFormat="1" applyFont="1" applyAlignment="1">
      <alignment horizontal="right" vertical="top"/>
    </xf>
    <xf numFmtId="1" fontId="2" fillId="0" borderId="0" xfId="0" applyNumberFormat="1" applyFont="1" applyAlignment="1">
      <alignment horizontal="right" vertical="top"/>
    </xf>
    <xf numFmtId="3" fontId="3" fillId="2" borderId="1" xfId="0" applyNumberFormat="1" applyFont="1" applyFill="1" applyBorder="1" applyAlignment="1">
      <alignment horizontal="right" vertical="top"/>
    </xf>
    <xf numFmtId="4" fontId="3" fillId="2" borderId="1" xfId="0" applyNumberFormat="1" applyFont="1" applyFill="1" applyBorder="1" applyAlignment="1">
      <alignment horizontal="right" vertical="top"/>
    </xf>
    <xf numFmtId="1" fontId="3" fillId="2" borderId="1" xfId="0" applyNumberFormat="1" applyFont="1" applyFill="1" applyBorder="1" applyAlignment="1">
      <alignment horizontal="right" vertical="top"/>
    </xf>
    <xf numFmtId="2" fontId="2" fillId="0" borderId="0" xfId="0" applyNumberFormat="1" applyFont="1" applyAlignment="1">
      <alignment horizontal="right" vertical="top"/>
    </xf>
    <xf numFmtId="0" fontId="4" fillId="0" borderId="0" xfId="0" applyFont="1"/>
    <xf numFmtId="2" fontId="3" fillId="2" borderId="1" xfId="0" applyNumberFormat="1" applyFont="1" applyFill="1" applyBorder="1" applyAlignment="1">
      <alignment horizontal="right" vertical="top"/>
    </xf>
    <xf numFmtId="3" fontId="0" fillId="0" borderId="0" xfId="0" applyNumberFormat="1"/>
    <xf numFmtId="3" fontId="1" fillId="0" borderId="0" xfId="0" applyNumberFormat="1" applyFont="1"/>
    <xf numFmtId="0" fontId="5" fillId="0" borderId="0" xfId="0" applyFont="1"/>
    <xf numFmtId="0" fontId="6" fillId="0" borderId="0" xfId="0" applyFont="1"/>
    <xf numFmtId="1" fontId="1" fillId="0" borderId="0" xfId="0" applyNumberFormat="1" applyFont="1"/>
    <xf numFmtId="0" fontId="7" fillId="0" borderId="0" xfId="0" applyFont="1"/>
    <xf numFmtId="0" fontId="1" fillId="0" borderId="0" xfId="0" applyFont="1" applyFill="1"/>
    <xf numFmtId="3" fontId="6" fillId="0" borderId="0" xfId="0" applyNumberFormat="1" applyFont="1"/>
    <xf numFmtId="3" fontId="2" fillId="0" borderId="0" xfId="0" applyNumberFormat="1" applyFont="1" applyFill="1" applyAlignment="1">
      <alignment horizontal="right" vertical="top"/>
    </xf>
    <xf numFmtId="4" fontId="2" fillId="0" borderId="0" xfId="0" applyNumberFormat="1" applyFont="1" applyFill="1" applyAlignment="1">
      <alignment horizontal="right" vertical="top"/>
    </xf>
    <xf numFmtId="3" fontId="3" fillId="3" borderId="1" xfId="0" applyNumberFormat="1" applyFont="1" applyFill="1" applyBorder="1" applyAlignment="1">
      <alignment horizontal="right" vertical="top"/>
    </xf>
    <xf numFmtId="1" fontId="2" fillId="0" borderId="0" xfId="0" applyNumberFormat="1" applyFont="1" applyFill="1" applyAlignment="1">
      <alignment horizontal="right" vertical="top"/>
    </xf>
    <xf numFmtId="0" fontId="1" fillId="0" borderId="0" xfId="0" applyFont="1" applyAlignment="1">
      <alignment horizontal="left"/>
    </xf>
    <xf numFmtId="4" fontId="3" fillId="3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vertical="top" wrapText="1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 indent="10"/>
    </xf>
    <xf numFmtId="0" fontId="3" fillId="2" borderId="1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left" vertical="top" wrapText="1" indent="10"/>
    </xf>
    <xf numFmtId="0" fontId="2" fillId="0" borderId="0" xfId="0" applyFont="1" applyAlignment="1">
      <alignment horizontal="left" vertical="top" wrapText="1" indent="8"/>
    </xf>
    <xf numFmtId="0" fontId="2" fillId="0" borderId="0" xfId="0" applyFont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U273"/>
  <sheetViews>
    <sheetView tabSelected="1" zoomScale="110" zoomScaleNormal="110" workbookViewId="0">
      <selection activeCell="A3" sqref="A3:N3"/>
    </sheetView>
  </sheetViews>
  <sheetFormatPr defaultColWidth="10.5" defaultRowHeight="11.45" customHeight="1" outlineLevelRow="6" x14ac:dyDescent="0.2"/>
  <cols>
    <col min="1" max="1" width="5.6640625" style="24" customWidth="1"/>
    <col min="2" max="2" width="3.33203125" style="24" customWidth="1"/>
    <col min="3" max="3" width="1.5" style="24" customWidth="1"/>
    <col min="4" max="4" width="13.83203125" style="24" customWidth="1"/>
    <col min="5" max="5" width="16.83203125" style="24" customWidth="1"/>
    <col min="6" max="6" width="1.83203125" style="24" customWidth="1"/>
    <col min="7" max="7" width="18.6640625" style="24" customWidth="1"/>
    <col min="8" max="8" width="8.6640625" style="24" customWidth="1"/>
    <col min="9" max="9" width="8.83203125" style="24" customWidth="1"/>
    <col min="10" max="10" width="1.33203125" style="24" customWidth="1"/>
    <col min="11" max="11" width="37.83203125" style="24" customWidth="1"/>
    <col min="12" max="12" width="15.33203125" style="24" customWidth="1"/>
    <col min="13" max="13" width="9.33203125" style="24" customWidth="1"/>
    <col min="14" max="14" width="7.5" style="24" customWidth="1"/>
    <col min="15" max="15" width="14.1640625" style="24" customWidth="1"/>
    <col min="16" max="16" width="15.1640625" style="24" customWidth="1"/>
    <col min="19" max="19" width="24.6640625" customWidth="1"/>
  </cols>
  <sheetData>
    <row r="1" spans="1:20" s="1" customFormat="1" ht="9.9499999999999993" customHeight="1" x14ac:dyDescent="0.2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20" ht="12.95" customHeight="1" x14ac:dyDescent="0.2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8" t="s">
        <v>1</v>
      </c>
      <c r="P2" s="38" t="s">
        <v>2</v>
      </c>
    </row>
    <row r="3" spans="1:20" ht="12.95" customHeight="1" x14ac:dyDescent="0.2">
      <c r="A3" s="37" t="s">
        <v>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9"/>
      <c r="P3" s="39"/>
    </row>
    <row r="4" spans="1:20" ht="9" customHeight="1" x14ac:dyDescent="0.2">
      <c r="A4" s="42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4"/>
      <c r="O4" s="39"/>
      <c r="P4" s="39"/>
    </row>
    <row r="5" spans="1:20" ht="10.5" customHeight="1" x14ac:dyDescent="0.2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7"/>
      <c r="O5" s="40"/>
      <c r="P5" s="40"/>
    </row>
    <row r="6" spans="1:20" ht="15" customHeight="1" x14ac:dyDescent="0.2">
      <c r="A6" s="41" t="s">
        <v>4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22">
        <f>SUM(O7,O9,O12,O16,O21,O23,O25,O27,O29,O32,O34,O36,O41,O46,O48,O50,O53,O55,O64,O72,O76,O79,O88,O91,O93,O95,O97,O109,O116,O161,O166,O173,O175,O177,O181,O184,O193,O195,O197,O200,O203,O210,O217,O220,O227,O230,O232,O236,O248,O250,O255,O259,O262,O264,O215)</f>
        <v>588305</v>
      </c>
      <c r="P6" s="25">
        <f>SUM(P7,P9,P12,P16,P21,P23,P25,P27,P29,P32,P34,P36,P41,P46,P48,P50,P53,P55,P64,P72,P76,P79,P88,P91,P93,P95,P97,P109,P116,P161,P166,P173,P175,P177,P181,P184,P193,P195,P197,P200,P203,P210,P215,P217,P220,P227,P230,P232,P236,P248,P250,P255,P259,P262,P264)</f>
        <v>3165624.79</v>
      </c>
      <c r="S6" s="14" t="s">
        <v>179</v>
      </c>
      <c r="T6" s="12">
        <f>SUM(T7:T13)</f>
        <v>391225</v>
      </c>
    </row>
    <row r="7" spans="1:20" s="2" customFormat="1" ht="15" customHeight="1" x14ac:dyDescent="0.2">
      <c r="A7" s="32" t="s">
        <v>5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6">
        <v>11350</v>
      </c>
      <c r="P7" s="7">
        <v>40862.5</v>
      </c>
      <c r="S7" s="2" t="s">
        <v>180</v>
      </c>
      <c r="T7" s="13">
        <f>SUM(O9,O16,O33,O37,O42,O43,O60,O59,O58,O57,O56,O65,O66,O67,O68,O69,O70,O72,O80,O81,O83,O82,O84,O85,O86,O88,O162,O165,O167,O168,O169,O170,O177,O181,O185,O186,O187,O188,O189,O200,O204,O205,O206,O211,O212,O213,O218,O221,O222,O223,O224,O227,O233,O237,O238,O240,O239,O251,O252,O253,O258,O265,O266,O267,O117,O118,O119,O120,O121,O122,O123,O124,O125,O126,O127,O130,O131,O132,O133,O134,O135,O138,O139)</f>
        <v>229525</v>
      </c>
    </row>
    <row r="8" spans="1:20" s="2" customFormat="1" ht="15" customHeight="1" outlineLevel="5" x14ac:dyDescent="0.2">
      <c r="A8" s="31" t="s">
        <v>6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">
        <v>11350</v>
      </c>
      <c r="P8" s="4">
        <v>40862.5</v>
      </c>
      <c r="S8" s="2" t="s">
        <v>181</v>
      </c>
      <c r="T8" s="13">
        <v>20000</v>
      </c>
    </row>
    <row r="9" spans="1:20" s="2" customFormat="1" ht="15" customHeight="1" x14ac:dyDescent="0.2">
      <c r="A9" s="32" t="s">
        <v>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6">
        <v>2500</v>
      </c>
      <c r="P9" s="7">
        <v>7140</v>
      </c>
      <c r="S9" s="2" t="s">
        <v>182</v>
      </c>
      <c r="T9" s="13">
        <f>SUM(O98,O172,O268,O269,O270,O143)</f>
        <v>58000</v>
      </c>
    </row>
    <row r="10" spans="1:20" s="2" customFormat="1" ht="15" customHeight="1" outlineLevel="5" x14ac:dyDescent="0.2">
      <c r="A10" s="31" t="s">
        <v>8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">
        <v>1000</v>
      </c>
      <c r="P10" s="4">
        <v>2760</v>
      </c>
      <c r="S10" s="2" t="s">
        <v>183</v>
      </c>
      <c r="T10" s="13">
        <f>SUM(O61,O62,O243,O244,O245,O246,O142)</f>
        <v>70000</v>
      </c>
    </row>
    <row r="11" spans="1:20" s="2" customFormat="1" ht="15" customHeight="1" outlineLevel="5" x14ac:dyDescent="0.2">
      <c r="A11" s="31" t="s">
        <v>9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">
        <v>1500</v>
      </c>
      <c r="P11" s="4">
        <v>4380</v>
      </c>
      <c r="S11" s="18" t="s">
        <v>184</v>
      </c>
      <c r="T11" s="13">
        <v>5500</v>
      </c>
    </row>
    <row r="12" spans="1:20" s="2" customFormat="1" ht="15" customHeight="1" x14ac:dyDescent="0.2">
      <c r="A12" s="32" t="s">
        <v>10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6">
        <v>20000</v>
      </c>
      <c r="P12" s="7">
        <v>68388.84</v>
      </c>
      <c r="S12" s="2" t="s">
        <v>185</v>
      </c>
      <c r="T12" s="13">
        <f>SUM(O51,O52,O263,O271,O272,O140,O141)</f>
        <v>7100</v>
      </c>
    </row>
    <row r="13" spans="1:20" s="2" customFormat="1" ht="15" customHeight="1" outlineLevel="5" x14ac:dyDescent="0.2">
      <c r="A13" s="31" t="s">
        <v>11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">
        <v>17000</v>
      </c>
      <c r="P13" s="4">
        <v>59117.4</v>
      </c>
      <c r="S13" s="18" t="s">
        <v>186</v>
      </c>
      <c r="T13" s="13">
        <v>1100</v>
      </c>
    </row>
    <row r="14" spans="1:20" s="2" customFormat="1" ht="15" customHeight="1" outlineLevel="5" x14ac:dyDescent="0.2">
      <c r="A14" s="31" t="s">
        <v>12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">
        <v>1000</v>
      </c>
      <c r="P14" s="4">
        <v>4230.71</v>
      </c>
      <c r="S14" s="2" t="s">
        <v>187</v>
      </c>
      <c r="T14" s="13">
        <f>SUM(O28,O44,O54,O99,O145,O176,O207)</f>
        <v>54600</v>
      </c>
    </row>
    <row r="15" spans="1:20" s="2" customFormat="1" ht="15" customHeight="1" outlineLevel="5" x14ac:dyDescent="0.2">
      <c r="A15" s="31" t="s">
        <v>13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">
        <v>2000</v>
      </c>
      <c r="P15" s="4">
        <v>5040.7299999999996</v>
      </c>
      <c r="S15" s="2" t="s">
        <v>6</v>
      </c>
      <c r="T15" s="13">
        <f>SUM(O8,O31,O39,O107,O154,O199,O231,O254)</f>
        <v>25800</v>
      </c>
    </row>
    <row r="16" spans="1:20" s="2" customFormat="1" ht="15" customHeight="1" x14ac:dyDescent="0.2">
      <c r="A16" s="32" t="s">
        <v>14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6">
        <v>4250</v>
      </c>
      <c r="P16" s="7">
        <v>28887.5</v>
      </c>
      <c r="S16" s="2" t="s">
        <v>22</v>
      </c>
      <c r="T16" s="13">
        <f>SUM(,O40,O108,O155,O196,O209,O235,O273)</f>
        <v>12400</v>
      </c>
    </row>
    <row r="17" spans="1:21" s="2" customFormat="1" ht="15" customHeight="1" outlineLevel="5" x14ac:dyDescent="0.2">
      <c r="A17" s="31" t="s">
        <v>15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">
        <v>2500</v>
      </c>
      <c r="P17" s="4">
        <v>15450</v>
      </c>
      <c r="S17" s="2" t="s">
        <v>188</v>
      </c>
      <c r="T17" s="16">
        <f>SUM(O22,O30,O78,O87,O92,O103,O174,O192,O214,O219)</f>
        <v>530</v>
      </c>
    </row>
    <row r="18" spans="1:21" s="2" customFormat="1" ht="15" customHeight="1" outlineLevel="5" x14ac:dyDescent="0.2">
      <c r="A18" s="31" t="s">
        <v>16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5">
        <v>750</v>
      </c>
      <c r="P18" s="4">
        <v>2962.5</v>
      </c>
      <c r="S18" s="2" t="s">
        <v>189</v>
      </c>
      <c r="T18" s="2">
        <v>650</v>
      </c>
    </row>
    <row r="19" spans="1:21" s="2" customFormat="1" ht="15" customHeight="1" outlineLevel="5" x14ac:dyDescent="0.2">
      <c r="A19" s="31" t="s">
        <v>17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5">
        <v>500</v>
      </c>
      <c r="P19" s="4">
        <v>1725</v>
      </c>
      <c r="S19" s="2" t="s">
        <v>190</v>
      </c>
      <c r="T19" s="13">
        <f>SUM(O26,O38,O45,O49,O94,O100,O148,O191,O198,O208,O225,O234,O247,O249)</f>
        <v>24875</v>
      </c>
    </row>
    <row r="20" spans="1:21" s="2" customFormat="1" ht="15" customHeight="1" outlineLevel="5" x14ac:dyDescent="0.2">
      <c r="A20" s="31" t="s">
        <v>18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5">
        <v>500</v>
      </c>
      <c r="P20" s="4">
        <v>8750</v>
      </c>
      <c r="S20" s="2" t="s">
        <v>191</v>
      </c>
      <c r="T20" s="2">
        <v>500</v>
      </c>
    </row>
    <row r="21" spans="1:21" s="2" customFormat="1" ht="15" customHeight="1" x14ac:dyDescent="0.2">
      <c r="A21" s="32" t="s">
        <v>19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8">
        <v>25</v>
      </c>
      <c r="P21" s="7">
        <v>4292.75</v>
      </c>
      <c r="S21" s="2" t="s">
        <v>192</v>
      </c>
      <c r="T21" s="2">
        <v>575</v>
      </c>
    </row>
    <row r="22" spans="1:21" s="2" customFormat="1" ht="15" customHeight="1" outlineLevel="4" x14ac:dyDescent="0.2">
      <c r="A22" s="34" t="s">
        <v>145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5">
        <v>25</v>
      </c>
      <c r="P22" s="4">
        <v>4292.75</v>
      </c>
      <c r="S22" s="2" t="s">
        <v>201</v>
      </c>
      <c r="T22" s="2">
        <v>100</v>
      </c>
    </row>
    <row r="23" spans="1:21" s="2" customFormat="1" ht="15" customHeight="1" x14ac:dyDescent="0.2">
      <c r="A23" s="32" t="s">
        <v>20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6">
        <v>2000</v>
      </c>
      <c r="P23" s="7">
        <v>101543</v>
      </c>
      <c r="S23" s="2" t="s">
        <v>202</v>
      </c>
      <c r="T23" s="13">
        <v>175</v>
      </c>
    </row>
    <row r="24" spans="1:21" s="2" customFormat="1" ht="15" customHeight="1" outlineLevel="5" x14ac:dyDescent="0.2">
      <c r="A24" s="26" t="s">
        <v>197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3">
        <v>2000</v>
      </c>
      <c r="P24" s="4">
        <v>101543</v>
      </c>
      <c r="S24" s="2" t="s">
        <v>193</v>
      </c>
      <c r="T24" s="13">
        <v>200</v>
      </c>
    </row>
    <row r="25" spans="1:21" s="2" customFormat="1" ht="15" customHeight="1" x14ac:dyDescent="0.2">
      <c r="A25" s="32" t="s">
        <v>21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6">
        <v>2500</v>
      </c>
      <c r="P25" s="7">
        <v>20850</v>
      </c>
      <c r="S25" s="2" t="s">
        <v>207</v>
      </c>
      <c r="T25" s="13">
        <v>2000</v>
      </c>
      <c r="U25" s="18"/>
    </row>
    <row r="26" spans="1:21" s="2" customFormat="1" ht="15" customHeight="1" outlineLevel="4" x14ac:dyDescent="0.2">
      <c r="A26" s="26" t="s">
        <v>176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3">
        <v>2500</v>
      </c>
      <c r="P26" s="4">
        <v>20850</v>
      </c>
      <c r="S26" s="15" t="s">
        <v>194</v>
      </c>
      <c r="T26" s="13">
        <f>SUM(T27:T28)</f>
        <v>74675</v>
      </c>
    </row>
    <row r="27" spans="1:21" s="2" customFormat="1" ht="15" customHeight="1" x14ac:dyDescent="0.2">
      <c r="A27" s="32" t="s">
        <v>23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6">
        <v>4000</v>
      </c>
      <c r="P27" s="7">
        <v>27800</v>
      </c>
      <c r="S27" s="2" t="s">
        <v>195</v>
      </c>
      <c r="T27" s="13">
        <f>SUM(O71,O111,O163,O164,O171,O241,O242,O112,O115)</f>
        <v>38000</v>
      </c>
    </row>
    <row r="28" spans="1:21" s="2" customFormat="1" ht="15" customHeight="1" outlineLevel="4" x14ac:dyDescent="0.2">
      <c r="A28" s="26" t="s">
        <v>173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3">
        <v>4000</v>
      </c>
      <c r="P28" s="4">
        <v>27800</v>
      </c>
      <c r="S28" s="2" t="s">
        <v>196</v>
      </c>
      <c r="T28" s="13">
        <f>SUM(O35,O77,O96,O110,O194,O256,O257,O259)</f>
        <v>36675</v>
      </c>
    </row>
    <row r="29" spans="1:21" s="2" customFormat="1" ht="15" customHeight="1" x14ac:dyDescent="0.2">
      <c r="A29" s="32" t="s">
        <v>24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8">
        <v>275</v>
      </c>
      <c r="P29" s="7">
        <v>5217.75</v>
      </c>
      <c r="S29" s="15" t="s">
        <v>4</v>
      </c>
      <c r="T29" s="19">
        <f>SUM(T6,T26,T14:T25)</f>
        <v>588305</v>
      </c>
    </row>
    <row r="30" spans="1:21" s="2" customFormat="1" ht="15" customHeight="1" outlineLevel="4" x14ac:dyDescent="0.2">
      <c r="A30" s="26" t="s">
        <v>148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5">
        <v>25</v>
      </c>
      <c r="P30" s="4">
        <v>4292.75</v>
      </c>
    </row>
    <row r="31" spans="1:21" s="2" customFormat="1" ht="15" customHeight="1" outlineLevel="5" x14ac:dyDescent="0.2">
      <c r="A31" s="26" t="s">
        <v>149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5">
        <v>250</v>
      </c>
      <c r="P31" s="9">
        <v>925</v>
      </c>
    </row>
    <row r="32" spans="1:21" s="2" customFormat="1" ht="15" customHeight="1" x14ac:dyDescent="0.2">
      <c r="A32" s="32" t="s">
        <v>25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8">
        <v>600</v>
      </c>
      <c r="P32" s="7">
        <v>1752</v>
      </c>
    </row>
    <row r="33" spans="1:16" s="2" customFormat="1" ht="15" customHeight="1" outlineLevel="5" x14ac:dyDescent="0.2">
      <c r="A33" s="31" t="s">
        <v>199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5">
        <v>600</v>
      </c>
      <c r="P33" s="4">
        <v>1752</v>
      </c>
    </row>
    <row r="34" spans="1:16" s="2" customFormat="1" ht="15" customHeight="1" x14ac:dyDescent="0.2">
      <c r="A34" s="32" t="s">
        <v>26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6">
        <v>3000</v>
      </c>
      <c r="P34" s="7">
        <v>4800</v>
      </c>
    </row>
    <row r="35" spans="1:16" s="2" customFormat="1" ht="15" customHeight="1" outlineLevel="6" x14ac:dyDescent="0.2">
      <c r="A35" s="26" t="s">
        <v>150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3">
        <v>3000</v>
      </c>
      <c r="P35" s="4">
        <v>4800</v>
      </c>
    </row>
    <row r="36" spans="1:16" s="2" customFormat="1" ht="15" customHeight="1" x14ac:dyDescent="0.2">
      <c r="A36" s="32" t="s">
        <v>27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6">
        <v>16700</v>
      </c>
      <c r="P36" s="7">
        <v>113127</v>
      </c>
    </row>
    <row r="37" spans="1:16" s="2" customFormat="1" ht="15" customHeight="1" outlineLevel="5" x14ac:dyDescent="0.2">
      <c r="A37" s="26" t="s">
        <v>151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3">
        <v>5000</v>
      </c>
      <c r="P37" s="4">
        <v>34250</v>
      </c>
    </row>
    <row r="38" spans="1:16" s="2" customFormat="1" ht="15" customHeight="1" outlineLevel="4" x14ac:dyDescent="0.2">
      <c r="A38" s="26" t="s">
        <v>146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3">
        <v>4000</v>
      </c>
      <c r="P38" s="4">
        <v>34640</v>
      </c>
    </row>
    <row r="39" spans="1:16" s="2" customFormat="1" ht="15" customHeight="1" outlineLevel="5" x14ac:dyDescent="0.2">
      <c r="A39" s="26" t="s">
        <v>149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3">
        <v>6000</v>
      </c>
      <c r="P39" s="4">
        <v>21780</v>
      </c>
    </row>
    <row r="40" spans="1:16" s="2" customFormat="1" ht="15" customHeight="1" outlineLevel="5" x14ac:dyDescent="0.2">
      <c r="A40" s="26" t="s">
        <v>152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3">
        <v>1700</v>
      </c>
      <c r="P40" s="4">
        <v>22457</v>
      </c>
    </row>
    <row r="41" spans="1:16" s="2" customFormat="1" ht="15" customHeight="1" x14ac:dyDescent="0.2">
      <c r="A41" s="32" t="s">
        <v>28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6">
        <v>20100</v>
      </c>
      <c r="P41" s="7">
        <v>95722</v>
      </c>
    </row>
    <row r="42" spans="1:16" s="2" customFormat="1" ht="15" customHeight="1" outlineLevel="5" x14ac:dyDescent="0.2">
      <c r="A42" s="26" t="s">
        <v>154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3">
        <v>9000</v>
      </c>
      <c r="P42" s="4">
        <v>19080</v>
      </c>
    </row>
    <row r="43" spans="1:16" s="2" customFormat="1" ht="15" customHeight="1" outlineLevel="5" x14ac:dyDescent="0.2">
      <c r="A43" s="26" t="s">
        <v>153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3">
        <v>1000</v>
      </c>
      <c r="P43" s="4">
        <v>1790</v>
      </c>
    </row>
    <row r="44" spans="1:16" s="2" customFormat="1" ht="15" customHeight="1" outlineLevel="4" x14ac:dyDescent="0.2">
      <c r="A44" s="26" t="s">
        <v>147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3">
        <v>10000</v>
      </c>
      <c r="P44" s="4">
        <v>74000</v>
      </c>
    </row>
    <row r="45" spans="1:16" s="2" customFormat="1" ht="15" customHeight="1" outlineLevel="4" x14ac:dyDescent="0.2">
      <c r="A45" s="35" t="s">
        <v>146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5">
        <v>100</v>
      </c>
      <c r="P45" s="9">
        <v>852</v>
      </c>
    </row>
    <row r="46" spans="1:16" s="2" customFormat="1" ht="15" customHeight="1" x14ac:dyDescent="0.2">
      <c r="A46" s="32" t="s">
        <v>29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8">
        <v>575</v>
      </c>
      <c r="P46" s="7">
        <v>30756.75</v>
      </c>
    </row>
    <row r="47" spans="1:16" s="2" customFormat="1" ht="15" customHeight="1" outlineLevel="5" x14ac:dyDescent="0.2">
      <c r="A47" s="26" t="s">
        <v>155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5">
        <v>575</v>
      </c>
      <c r="P47" s="4">
        <v>30756.75</v>
      </c>
    </row>
    <row r="48" spans="1:16" s="2" customFormat="1" ht="15" customHeight="1" x14ac:dyDescent="0.2">
      <c r="A48" s="32" t="s">
        <v>30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6">
        <v>1000</v>
      </c>
      <c r="P48" s="7">
        <v>8460</v>
      </c>
    </row>
    <row r="49" spans="1:16" s="2" customFormat="1" ht="15" customHeight="1" outlineLevel="4" x14ac:dyDescent="0.2">
      <c r="A49" s="26" t="s">
        <v>146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3">
        <v>1000</v>
      </c>
      <c r="P49" s="4">
        <v>8460</v>
      </c>
    </row>
    <row r="50" spans="1:16" s="2" customFormat="1" ht="15" customHeight="1" x14ac:dyDescent="0.2">
      <c r="A50" s="32" t="s">
        <v>31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6">
        <v>2000</v>
      </c>
      <c r="P50" s="7">
        <v>15720</v>
      </c>
    </row>
    <row r="51" spans="1:16" s="2" customFormat="1" ht="15" customHeight="1" outlineLevel="5" x14ac:dyDescent="0.2">
      <c r="A51" s="26" t="s">
        <v>156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3">
        <v>1000</v>
      </c>
      <c r="P51" s="4">
        <v>7860</v>
      </c>
    </row>
    <row r="52" spans="1:16" s="2" customFormat="1" ht="15" customHeight="1" outlineLevel="5" x14ac:dyDescent="0.2">
      <c r="A52" s="26" t="s">
        <v>157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3">
        <v>1000</v>
      </c>
      <c r="P52" s="4">
        <v>7860</v>
      </c>
    </row>
    <row r="53" spans="1:16" s="2" customFormat="1" ht="15" customHeight="1" x14ac:dyDescent="0.2">
      <c r="A53" s="32" t="s">
        <v>32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6">
        <v>8000</v>
      </c>
      <c r="P53" s="7">
        <v>59200</v>
      </c>
    </row>
    <row r="54" spans="1:16" s="2" customFormat="1" ht="15" customHeight="1" outlineLevel="4" x14ac:dyDescent="0.2">
      <c r="A54" s="26" t="s">
        <v>200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3">
        <v>8000</v>
      </c>
      <c r="P54" s="4">
        <v>59200</v>
      </c>
    </row>
    <row r="55" spans="1:16" s="2" customFormat="1" ht="15" customHeight="1" x14ac:dyDescent="0.2">
      <c r="A55" s="32" t="s">
        <v>33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6">
        <v>57000</v>
      </c>
      <c r="P55" s="7">
        <v>138180</v>
      </c>
    </row>
    <row r="56" spans="1:16" s="2" customFormat="1" ht="15" customHeight="1" outlineLevel="5" x14ac:dyDescent="0.2">
      <c r="A56" s="31" t="s">
        <v>34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">
        <v>6000</v>
      </c>
      <c r="P56" s="4">
        <v>17400</v>
      </c>
    </row>
    <row r="57" spans="1:16" s="2" customFormat="1" ht="15" customHeight="1" outlineLevel="5" x14ac:dyDescent="0.2">
      <c r="A57" s="31" t="s">
        <v>35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">
        <v>8000</v>
      </c>
      <c r="P57" s="4">
        <v>23200</v>
      </c>
    </row>
    <row r="58" spans="1:16" s="2" customFormat="1" ht="15" customHeight="1" outlineLevel="5" x14ac:dyDescent="0.2">
      <c r="A58" s="31" t="s">
        <v>36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">
        <v>4000</v>
      </c>
      <c r="P58" s="4">
        <v>9520</v>
      </c>
    </row>
    <row r="59" spans="1:16" s="2" customFormat="1" ht="15" customHeight="1" outlineLevel="5" x14ac:dyDescent="0.2">
      <c r="A59" s="31" t="s">
        <v>37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">
        <v>4000</v>
      </c>
      <c r="P59" s="4">
        <v>11040</v>
      </c>
    </row>
    <row r="60" spans="1:16" s="2" customFormat="1" ht="15" customHeight="1" outlineLevel="5" x14ac:dyDescent="0.2">
      <c r="A60" s="31" t="s">
        <v>38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">
        <v>5000</v>
      </c>
      <c r="P60" s="4">
        <v>13800</v>
      </c>
    </row>
    <row r="61" spans="1:16" s="2" customFormat="1" ht="15" customHeight="1" outlineLevel="5" x14ac:dyDescent="0.2">
      <c r="A61" s="31" t="s">
        <v>39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">
        <v>20000</v>
      </c>
      <c r="P61" s="4">
        <v>40200</v>
      </c>
    </row>
    <row r="62" spans="1:16" s="2" customFormat="1" ht="15" customHeight="1" outlineLevel="5" x14ac:dyDescent="0.2">
      <c r="A62" s="31" t="s">
        <v>40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">
        <v>6000</v>
      </c>
      <c r="P62" s="4">
        <v>12060</v>
      </c>
    </row>
    <row r="63" spans="1:16" s="2" customFormat="1" ht="15" customHeight="1" outlineLevel="5" x14ac:dyDescent="0.2">
      <c r="A63" s="36" t="s">
        <v>203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">
        <v>4000</v>
      </c>
      <c r="P63" s="4">
        <v>10960</v>
      </c>
    </row>
    <row r="64" spans="1:16" s="2" customFormat="1" ht="15" customHeight="1" x14ac:dyDescent="0.2">
      <c r="A64" s="32" t="s">
        <v>41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6">
        <v>16000</v>
      </c>
      <c r="P64" s="7">
        <v>71280</v>
      </c>
    </row>
    <row r="65" spans="1:16" s="2" customFormat="1" ht="15" customHeight="1" outlineLevel="5" x14ac:dyDescent="0.2">
      <c r="A65" s="31" t="s">
        <v>42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">
        <v>2000</v>
      </c>
      <c r="P65" s="4">
        <v>27360</v>
      </c>
    </row>
    <row r="66" spans="1:16" s="2" customFormat="1" ht="15" customHeight="1" outlineLevel="5" x14ac:dyDescent="0.2">
      <c r="A66" s="31" t="s">
        <v>43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">
        <v>3000</v>
      </c>
      <c r="P66" s="4">
        <v>15900</v>
      </c>
    </row>
    <row r="67" spans="1:16" s="2" customFormat="1" ht="15" customHeight="1" outlineLevel="5" x14ac:dyDescent="0.2">
      <c r="A67" s="31" t="s">
        <v>44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">
        <v>2300</v>
      </c>
      <c r="P67" s="4">
        <v>5382</v>
      </c>
    </row>
    <row r="68" spans="1:16" s="2" customFormat="1" ht="15" customHeight="1" outlineLevel="5" x14ac:dyDescent="0.2">
      <c r="A68" s="31" t="s">
        <v>45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">
        <v>1700</v>
      </c>
      <c r="P68" s="4">
        <v>3978</v>
      </c>
    </row>
    <row r="69" spans="1:16" s="2" customFormat="1" ht="15" customHeight="1" outlineLevel="5" x14ac:dyDescent="0.2">
      <c r="A69" s="31" t="s">
        <v>46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">
        <v>2000</v>
      </c>
      <c r="P69" s="4">
        <v>6220</v>
      </c>
    </row>
    <row r="70" spans="1:16" s="2" customFormat="1" ht="15" customHeight="1" outlineLevel="5" x14ac:dyDescent="0.2">
      <c r="A70" s="31" t="s">
        <v>47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">
        <v>2000</v>
      </c>
      <c r="P70" s="4">
        <v>5420</v>
      </c>
    </row>
    <row r="71" spans="1:16" s="17" customFormat="1" ht="15" customHeight="1" outlineLevel="5" x14ac:dyDescent="0.2">
      <c r="A71" s="31" t="s">
        <v>48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">
        <v>3000</v>
      </c>
      <c r="P71" s="4">
        <v>7020</v>
      </c>
    </row>
    <row r="72" spans="1:16" s="2" customFormat="1" ht="15" customHeight="1" x14ac:dyDescent="0.2">
      <c r="A72" s="32" t="s">
        <v>49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6">
        <v>10500</v>
      </c>
      <c r="P72" s="7">
        <v>52755</v>
      </c>
    </row>
    <row r="73" spans="1:16" s="2" customFormat="1" ht="15" customHeight="1" outlineLevel="5" x14ac:dyDescent="0.2">
      <c r="A73" s="31" t="s">
        <v>50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">
        <v>3000</v>
      </c>
      <c r="P73" s="4">
        <v>14580</v>
      </c>
    </row>
    <row r="74" spans="1:16" s="2" customFormat="1" ht="15" customHeight="1" outlineLevel="5" x14ac:dyDescent="0.2">
      <c r="A74" s="31" t="s">
        <v>51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">
        <v>5000</v>
      </c>
      <c r="P74" s="4">
        <v>24300</v>
      </c>
    </row>
    <row r="75" spans="1:16" s="2" customFormat="1" ht="15" customHeight="1" outlineLevel="5" x14ac:dyDescent="0.2">
      <c r="A75" s="31" t="s">
        <v>52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">
        <v>2500</v>
      </c>
      <c r="P75" s="4">
        <v>13875</v>
      </c>
    </row>
    <row r="76" spans="1:16" s="2" customFormat="1" ht="15" customHeight="1" x14ac:dyDescent="0.2">
      <c r="A76" s="32" t="s">
        <v>53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6">
        <v>2025</v>
      </c>
      <c r="P76" s="7">
        <v>7450</v>
      </c>
    </row>
    <row r="77" spans="1:16" s="2" customFormat="1" ht="15" customHeight="1" outlineLevel="6" x14ac:dyDescent="0.2">
      <c r="A77" s="26" t="s">
        <v>175</v>
      </c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3">
        <v>2000</v>
      </c>
      <c r="P77" s="4">
        <v>3200</v>
      </c>
    </row>
    <row r="78" spans="1:16" s="2" customFormat="1" ht="15" customHeight="1" outlineLevel="4" x14ac:dyDescent="0.2">
      <c r="A78" s="26" t="s">
        <v>172</v>
      </c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5">
        <v>25</v>
      </c>
      <c r="P78" s="4">
        <v>4250</v>
      </c>
    </row>
    <row r="79" spans="1:16" s="2" customFormat="1" ht="15" customHeight="1" x14ac:dyDescent="0.2">
      <c r="A79" s="32" t="s">
        <v>54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6">
        <v>26100</v>
      </c>
      <c r="P79" s="7">
        <v>146591</v>
      </c>
    </row>
    <row r="80" spans="1:16" s="2" customFormat="1" ht="15" customHeight="1" outlineLevel="5" x14ac:dyDescent="0.2">
      <c r="A80" s="31" t="s">
        <v>55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">
        <v>9000</v>
      </c>
      <c r="P80" s="4">
        <v>35550</v>
      </c>
    </row>
    <row r="81" spans="1:16" s="2" customFormat="1" ht="15" customHeight="1" outlineLevel="5" x14ac:dyDescent="0.2">
      <c r="A81" s="31" t="s">
        <v>56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">
        <v>1000</v>
      </c>
      <c r="P81" s="4">
        <v>4050</v>
      </c>
    </row>
    <row r="82" spans="1:16" s="2" customFormat="1" ht="15" customHeight="1" outlineLevel="5" x14ac:dyDescent="0.2">
      <c r="A82" s="31" t="s">
        <v>57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">
        <v>2000</v>
      </c>
      <c r="P82" s="4">
        <v>38300</v>
      </c>
    </row>
    <row r="83" spans="1:16" s="2" customFormat="1" ht="15" customHeight="1" outlineLevel="5" x14ac:dyDescent="0.2">
      <c r="A83" s="31" t="s">
        <v>58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">
        <v>1000</v>
      </c>
      <c r="P83" s="4">
        <v>2980</v>
      </c>
    </row>
    <row r="84" spans="1:16" s="2" customFormat="1" ht="15" customHeight="1" outlineLevel="5" x14ac:dyDescent="0.2">
      <c r="A84" s="31" t="s">
        <v>59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">
        <v>3000</v>
      </c>
      <c r="P84" s="4">
        <v>8940</v>
      </c>
    </row>
    <row r="85" spans="1:16" s="2" customFormat="1" ht="15" customHeight="1" outlineLevel="5" x14ac:dyDescent="0.2">
      <c r="A85" s="31" t="s">
        <v>60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">
        <v>9000</v>
      </c>
      <c r="P85" s="4">
        <v>35550</v>
      </c>
    </row>
    <row r="86" spans="1:16" s="2" customFormat="1" ht="15" customHeight="1" outlineLevel="5" x14ac:dyDescent="0.2">
      <c r="A86" s="31" t="s">
        <v>61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">
        <v>1000</v>
      </c>
      <c r="P86" s="4">
        <v>4050</v>
      </c>
    </row>
    <row r="87" spans="1:16" s="2" customFormat="1" ht="15" customHeight="1" outlineLevel="4" x14ac:dyDescent="0.2">
      <c r="A87" s="26" t="s">
        <v>198</v>
      </c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5">
        <v>100</v>
      </c>
      <c r="P87" s="4">
        <v>17171</v>
      </c>
    </row>
    <row r="88" spans="1:16" s="2" customFormat="1" ht="15" customHeight="1" x14ac:dyDescent="0.2">
      <c r="A88" s="32" t="s">
        <v>62</v>
      </c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8">
        <v>800</v>
      </c>
      <c r="P88" s="7">
        <v>1804</v>
      </c>
    </row>
    <row r="89" spans="1:16" s="2" customFormat="1" ht="15" customHeight="1" outlineLevel="5" x14ac:dyDescent="0.2">
      <c r="A89" s="31" t="s">
        <v>63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5">
        <v>600</v>
      </c>
      <c r="P89" s="4">
        <v>1476</v>
      </c>
    </row>
    <row r="90" spans="1:16" s="2" customFormat="1" ht="15" customHeight="1" outlineLevel="5" x14ac:dyDescent="0.2">
      <c r="A90" s="31" t="s">
        <v>64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5">
        <v>200</v>
      </c>
      <c r="P90" s="9">
        <v>328</v>
      </c>
    </row>
    <row r="91" spans="1:16" s="2" customFormat="1" ht="15" customHeight="1" x14ac:dyDescent="0.2">
      <c r="A91" s="32" t="s">
        <v>65</v>
      </c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8">
        <v>50</v>
      </c>
      <c r="P91" s="7">
        <v>8500</v>
      </c>
    </row>
    <row r="92" spans="1:16" s="2" customFormat="1" ht="15" customHeight="1" outlineLevel="4" x14ac:dyDescent="0.2">
      <c r="A92" s="26" t="s">
        <v>159</v>
      </c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5">
        <v>50</v>
      </c>
      <c r="P92" s="4">
        <v>8500</v>
      </c>
    </row>
    <row r="93" spans="1:16" s="2" customFormat="1" ht="15" customHeight="1" x14ac:dyDescent="0.2">
      <c r="A93" s="32" t="s">
        <v>66</v>
      </c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6">
        <v>1000</v>
      </c>
      <c r="P93" s="7">
        <v>8520</v>
      </c>
    </row>
    <row r="94" spans="1:16" s="2" customFormat="1" ht="15" customHeight="1" outlineLevel="4" x14ac:dyDescent="0.2">
      <c r="A94" s="26" t="s">
        <v>160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3">
        <v>1000</v>
      </c>
      <c r="P94" s="4">
        <v>8520</v>
      </c>
    </row>
    <row r="95" spans="1:16" ht="15" customHeight="1" x14ac:dyDescent="0.2">
      <c r="A95" s="32" t="s">
        <v>70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6">
        <v>1975</v>
      </c>
      <c r="P95" s="7">
        <v>2686</v>
      </c>
    </row>
    <row r="96" spans="1:16" s="2" customFormat="1" ht="15" customHeight="1" outlineLevel="6" x14ac:dyDescent="0.2">
      <c r="A96" s="26" t="s">
        <v>161</v>
      </c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3">
        <v>1975</v>
      </c>
      <c r="P96" s="4">
        <v>2686</v>
      </c>
    </row>
    <row r="97" spans="1:17" s="2" customFormat="1" ht="15" customHeight="1" x14ac:dyDescent="0.2">
      <c r="A97" s="32" t="s">
        <v>70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6">
        <v>19780</v>
      </c>
      <c r="P97" s="7">
        <v>203145.2</v>
      </c>
    </row>
    <row r="98" spans="1:17" s="2" customFormat="1" ht="15" customHeight="1" outlineLevel="5" x14ac:dyDescent="0.2">
      <c r="A98" s="26" t="s">
        <v>162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3">
        <v>3000</v>
      </c>
      <c r="P98" s="4">
        <v>8130</v>
      </c>
    </row>
    <row r="99" spans="1:17" s="2" customFormat="1" ht="15" customHeight="1" outlineLevel="4" x14ac:dyDescent="0.2">
      <c r="A99" s="26" t="s">
        <v>158</v>
      </c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3">
        <v>10600</v>
      </c>
      <c r="P99" s="4">
        <v>71920</v>
      </c>
    </row>
    <row r="100" spans="1:17" s="2" customFormat="1" ht="15" customHeight="1" outlineLevel="4" x14ac:dyDescent="0.2">
      <c r="A100" s="26" t="s">
        <v>160</v>
      </c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3">
        <v>1525</v>
      </c>
      <c r="P100" s="4">
        <v>12643.75</v>
      </c>
    </row>
    <row r="101" spans="1:17" s="2" customFormat="1" ht="15" customHeight="1" outlineLevel="4" x14ac:dyDescent="0.2">
      <c r="A101" s="26" t="s">
        <v>163</v>
      </c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5">
        <v>200</v>
      </c>
      <c r="P101" s="4">
        <v>3212</v>
      </c>
    </row>
    <row r="102" spans="1:17" s="2" customFormat="1" ht="15" customHeight="1" outlineLevel="4" x14ac:dyDescent="0.2">
      <c r="A102" s="26" t="s">
        <v>164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5">
        <v>650</v>
      </c>
      <c r="P102" s="4">
        <v>24138</v>
      </c>
    </row>
    <row r="103" spans="1:17" s="2" customFormat="1" ht="15" customHeight="1" outlineLevel="4" x14ac:dyDescent="0.2">
      <c r="A103" s="26" t="s">
        <v>159</v>
      </c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5">
        <v>180</v>
      </c>
      <c r="P103" s="4">
        <v>30487.200000000001</v>
      </c>
    </row>
    <row r="104" spans="1:17" s="2" customFormat="1" ht="15" customHeight="1" outlineLevel="5" x14ac:dyDescent="0.2">
      <c r="A104" s="26" t="s">
        <v>165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5">
        <v>100</v>
      </c>
      <c r="P104" s="4">
        <v>3162</v>
      </c>
    </row>
    <row r="105" spans="1:17" s="2" customFormat="1" ht="15" customHeight="1" outlineLevel="5" x14ac:dyDescent="0.2">
      <c r="A105" s="26" t="s">
        <v>166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5">
        <v>200</v>
      </c>
      <c r="P105" s="4">
        <v>10748</v>
      </c>
    </row>
    <row r="106" spans="1:17" s="2" customFormat="1" ht="15" customHeight="1" outlineLevel="5" x14ac:dyDescent="0.2">
      <c r="A106" s="26" t="s">
        <v>167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5">
        <v>175</v>
      </c>
      <c r="P106" s="4">
        <v>7698.25</v>
      </c>
    </row>
    <row r="107" spans="1:17" s="2" customFormat="1" ht="15" customHeight="1" outlineLevel="5" x14ac:dyDescent="0.2">
      <c r="A107" s="26" t="s">
        <v>168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3">
        <v>1200</v>
      </c>
      <c r="P107" s="4">
        <v>4476</v>
      </c>
    </row>
    <row r="108" spans="1:17" s="2" customFormat="1" ht="15" customHeight="1" outlineLevel="5" x14ac:dyDescent="0.2">
      <c r="A108" s="26" t="s">
        <v>169</v>
      </c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3">
        <v>1950</v>
      </c>
      <c r="P108" s="4">
        <v>26530</v>
      </c>
    </row>
    <row r="109" spans="1:17" ht="15" customHeight="1" x14ac:dyDescent="0.2">
      <c r="A109" s="32" t="s">
        <v>72</v>
      </c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6">
        <f>SUM(O110,O111,O112,O115)</f>
        <v>11700</v>
      </c>
      <c r="P109" s="7">
        <f>SUM(P110,P111,P112,P115)</f>
        <v>32831</v>
      </c>
    </row>
    <row r="110" spans="1:17" s="2" customFormat="1" ht="15" customHeight="1" outlineLevel="6" x14ac:dyDescent="0.2">
      <c r="A110" s="26" t="s">
        <v>170</v>
      </c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3">
        <v>1700</v>
      </c>
      <c r="P110" s="4">
        <v>2771</v>
      </c>
      <c r="Q110" s="10" t="s">
        <v>217</v>
      </c>
    </row>
    <row r="111" spans="1:17" s="17" customFormat="1" ht="15" customHeight="1" outlineLevel="5" x14ac:dyDescent="0.2">
      <c r="A111" s="26" t="s">
        <v>171</v>
      </c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3">
        <v>1000</v>
      </c>
      <c r="P111" s="4">
        <v>2340</v>
      </c>
      <c r="Q111" s="10" t="s">
        <v>216</v>
      </c>
    </row>
    <row r="112" spans="1:17" s="17" customFormat="1" ht="15" customHeight="1" outlineLevel="5" x14ac:dyDescent="0.2">
      <c r="A112" s="29" t="s">
        <v>213</v>
      </c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0">
        <v>5000</v>
      </c>
      <c r="P112" s="21">
        <v>16520</v>
      </c>
      <c r="Q112" s="10"/>
    </row>
    <row r="113" spans="1:17" s="17" customFormat="1" ht="15" customHeight="1" outlineLevel="5" x14ac:dyDescent="0.2">
      <c r="A113" s="27" t="s">
        <v>216</v>
      </c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3">
        <v>1000</v>
      </c>
      <c r="P113" s="4">
        <v>2800</v>
      </c>
      <c r="Q113" s="10"/>
    </row>
    <row r="114" spans="1:17" s="17" customFormat="1" ht="15" customHeight="1" outlineLevel="5" x14ac:dyDescent="0.2">
      <c r="A114" s="27" t="s">
        <v>222</v>
      </c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3">
        <v>4000</v>
      </c>
      <c r="P114" s="4">
        <v>13720</v>
      </c>
      <c r="Q114" s="10"/>
    </row>
    <row r="115" spans="1:17" s="17" customFormat="1" ht="15" customHeight="1" outlineLevel="5" x14ac:dyDescent="0.2">
      <c r="A115" s="26" t="s">
        <v>214</v>
      </c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3">
        <v>4000</v>
      </c>
      <c r="P115" s="4">
        <v>11200</v>
      </c>
      <c r="Q115" s="10" t="s">
        <v>216</v>
      </c>
    </row>
    <row r="116" spans="1:17" s="2" customFormat="1" ht="15" customHeight="1" x14ac:dyDescent="0.2">
      <c r="A116" s="32" t="s">
        <v>72</v>
      </c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6">
        <f>SUM(O117,O118,O119,O120,O121,O122,O123,O124,O125,O126,O127,O130,O131,O132,O133,O134,O135,O138,O139,O140,O141,O142,O143,O144,O145,O148,O155,O154)</f>
        <v>69175</v>
      </c>
      <c r="P116" s="7">
        <f>SUM(P117,P118,P119,P120,P121,P122,P123,P124,P125,P126,P127,P130,P131,P132,P134,P133,P135,P138,P139,P140,P141,P143,P142,P144,P145,P148,P155,P154)</f>
        <v>524202.5</v>
      </c>
    </row>
    <row r="117" spans="1:17" s="2" customFormat="1" ht="15" customHeight="1" x14ac:dyDescent="0.2">
      <c r="A117" s="26" t="s">
        <v>221</v>
      </c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3">
        <v>1000</v>
      </c>
      <c r="P117" s="4">
        <v>11590</v>
      </c>
      <c r="Q117" s="2" t="s">
        <v>222</v>
      </c>
    </row>
    <row r="118" spans="1:17" s="2" customFormat="1" ht="15" customHeight="1" x14ac:dyDescent="0.2">
      <c r="A118" s="26" t="s">
        <v>230</v>
      </c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3">
        <v>1000</v>
      </c>
      <c r="P118" s="4">
        <v>7200</v>
      </c>
      <c r="Q118" s="2" t="s">
        <v>232</v>
      </c>
    </row>
    <row r="119" spans="1:17" s="2" customFormat="1" ht="15" customHeight="1" x14ac:dyDescent="0.2">
      <c r="A119" s="26" t="s">
        <v>231</v>
      </c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3">
        <v>1000</v>
      </c>
      <c r="P119" s="4">
        <v>7160</v>
      </c>
      <c r="Q119" s="2" t="s">
        <v>232</v>
      </c>
    </row>
    <row r="120" spans="1:17" s="2" customFormat="1" ht="15" customHeight="1" x14ac:dyDescent="0.2">
      <c r="A120" s="26" t="s">
        <v>233</v>
      </c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3">
        <v>500</v>
      </c>
      <c r="P120" s="4">
        <v>1710</v>
      </c>
      <c r="Q120" s="2" t="s">
        <v>232</v>
      </c>
    </row>
    <row r="121" spans="1:17" s="2" customFormat="1" ht="15" customHeight="1" x14ac:dyDescent="0.2">
      <c r="A121" s="26" t="s">
        <v>234</v>
      </c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3">
        <v>500</v>
      </c>
      <c r="P121" s="4">
        <v>1740</v>
      </c>
      <c r="Q121" s="2" t="s">
        <v>232</v>
      </c>
    </row>
    <row r="122" spans="1:17" s="2" customFormat="1" ht="15" customHeight="1" x14ac:dyDescent="0.2">
      <c r="A122" s="35" t="s">
        <v>250</v>
      </c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">
        <v>700</v>
      </c>
      <c r="P122" s="4">
        <v>2464</v>
      </c>
      <c r="Q122" s="2" t="s">
        <v>251</v>
      </c>
    </row>
    <row r="123" spans="1:17" s="2" customFormat="1" ht="15" customHeight="1" x14ac:dyDescent="0.2">
      <c r="A123" s="26" t="s">
        <v>220</v>
      </c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3">
        <v>2500</v>
      </c>
      <c r="P123" s="4">
        <v>10475</v>
      </c>
      <c r="Q123" s="2" t="s">
        <v>218</v>
      </c>
    </row>
    <row r="124" spans="1:17" s="2" customFormat="1" ht="15" customHeight="1" x14ac:dyDescent="0.2">
      <c r="A124" s="35" t="s">
        <v>249</v>
      </c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">
        <v>1500</v>
      </c>
      <c r="P124" s="4">
        <v>8640</v>
      </c>
      <c r="Q124" s="2" t="s">
        <v>248</v>
      </c>
    </row>
    <row r="125" spans="1:17" s="2" customFormat="1" ht="15" customHeight="1" x14ac:dyDescent="0.2">
      <c r="A125" s="26" t="s">
        <v>219</v>
      </c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3">
        <v>3000</v>
      </c>
      <c r="P125" s="4">
        <v>7800</v>
      </c>
      <c r="Q125" s="2" t="s">
        <v>218</v>
      </c>
    </row>
    <row r="126" spans="1:17" s="2" customFormat="1" ht="15" customHeight="1" x14ac:dyDescent="0.2">
      <c r="A126" s="26" t="s">
        <v>235</v>
      </c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3">
        <v>500</v>
      </c>
      <c r="P126" s="4">
        <v>4055</v>
      </c>
      <c r="Q126" s="2" t="s">
        <v>232</v>
      </c>
    </row>
    <row r="127" spans="1:17" s="2" customFormat="1" ht="15" customHeight="1" x14ac:dyDescent="0.2">
      <c r="A127" s="29" t="s">
        <v>225</v>
      </c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0">
        <v>1325</v>
      </c>
      <c r="P127" s="21">
        <v>9603</v>
      </c>
    </row>
    <row r="128" spans="1:17" s="2" customFormat="1" ht="15" customHeight="1" x14ac:dyDescent="0.2">
      <c r="A128" s="27" t="s">
        <v>226</v>
      </c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3">
        <v>825</v>
      </c>
      <c r="P128" s="4">
        <v>5643</v>
      </c>
    </row>
    <row r="129" spans="1:17" s="2" customFormat="1" ht="15" customHeight="1" x14ac:dyDescent="0.2">
      <c r="A129" s="27" t="s">
        <v>246</v>
      </c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3">
        <v>500</v>
      </c>
      <c r="P129" s="4">
        <v>3960</v>
      </c>
    </row>
    <row r="130" spans="1:17" s="2" customFormat="1" ht="15" customHeight="1" x14ac:dyDescent="0.2">
      <c r="A130" s="26" t="s">
        <v>227</v>
      </c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3">
        <v>900</v>
      </c>
      <c r="P130" s="4">
        <v>5769</v>
      </c>
      <c r="Q130" s="2" t="s">
        <v>226</v>
      </c>
    </row>
    <row r="131" spans="1:17" s="2" customFormat="1" ht="15" customHeight="1" x14ac:dyDescent="0.2">
      <c r="A131" s="26" t="s">
        <v>208</v>
      </c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3">
        <v>4000</v>
      </c>
      <c r="P131" s="4">
        <v>79080</v>
      </c>
      <c r="Q131" s="2" t="s">
        <v>210</v>
      </c>
    </row>
    <row r="132" spans="1:17" s="2" customFormat="1" ht="15" customHeight="1" x14ac:dyDescent="0.2">
      <c r="A132" s="26" t="s">
        <v>240</v>
      </c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3">
        <v>9000</v>
      </c>
      <c r="P132" s="4">
        <v>24840</v>
      </c>
      <c r="Q132" s="2" t="s">
        <v>241</v>
      </c>
    </row>
    <row r="133" spans="1:17" s="2" customFormat="1" ht="15" customHeight="1" x14ac:dyDescent="0.2">
      <c r="A133" s="26" t="s">
        <v>223</v>
      </c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3">
        <v>1000</v>
      </c>
      <c r="P133" s="4">
        <v>4460</v>
      </c>
      <c r="Q133" s="2" t="s">
        <v>222</v>
      </c>
    </row>
    <row r="134" spans="1:17" s="2" customFormat="1" ht="15" customHeight="1" x14ac:dyDescent="0.2">
      <c r="A134" s="35" t="s">
        <v>252</v>
      </c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">
        <v>700</v>
      </c>
      <c r="P134" s="4">
        <v>5593</v>
      </c>
      <c r="Q134" s="2" t="s">
        <v>251</v>
      </c>
    </row>
    <row r="135" spans="1:17" s="18" customFormat="1" ht="15" customHeight="1" x14ac:dyDescent="0.2">
      <c r="A135" s="29" t="s">
        <v>236</v>
      </c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0">
        <v>2000</v>
      </c>
      <c r="P135" s="21">
        <v>15915</v>
      </c>
    </row>
    <row r="136" spans="1:17" s="18" customFormat="1" ht="15" customHeight="1" x14ac:dyDescent="0.2">
      <c r="A136" s="28" t="s">
        <v>232</v>
      </c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0">
        <v>1500</v>
      </c>
      <c r="P136" s="21">
        <v>11940</v>
      </c>
    </row>
    <row r="137" spans="1:17" s="18" customFormat="1" ht="15" customHeight="1" x14ac:dyDescent="0.2">
      <c r="A137" s="28" t="s">
        <v>242</v>
      </c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0">
        <v>500</v>
      </c>
      <c r="P137" s="21">
        <v>3975</v>
      </c>
    </row>
    <row r="138" spans="1:17" s="18" customFormat="1" ht="15" customHeight="1" x14ac:dyDescent="0.2">
      <c r="A138" s="29" t="s">
        <v>243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0">
        <v>1200</v>
      </c>
      <c r="P138" s="21">
        <v>3564</v>
      </c>
      <c r="Q138" s="18" t="s">
        <v>244</v>
      </c>
    </row>
    <row r="139" spans="1:17" s="18" customFormat="1" ht="15" customHeight="1" x14ac:dyDescent="0.2">
      <c r="A139" s="29" t="s">
        <v>209</v>
      </c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0">
        <v>2000</v>
      </c>
      <c r="P139" s="21">
        <v>6900</v>
      </c>
      <c r="Q139" s="18" t="s">
        <v>210</v>
      </c>
    </row>
    <row r="140" spans="1:17" s="18" customFormat="1" ht="15" customHeight="1" x14ac:dyDescent="0.2">
      <c r="A140" s="29" t="s">
        <v>228</v>
      </c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0">
        <v>1000</v>
      </c>
      <c r="P140" s="21">
        <v>9570</v>
      </c>
      <c r="Q140" s="18" t="s">
        <v>226</v>
      </c>
    </row>
    <row r="141" spans="1:17" s="18" customFormat="1" ht="15" customHeight="1" x14ac:dyDescent="0.2">
      <c r="A141" s="30" t="s">
        <v>247</v>
      </c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20">
        <v>500</v>
      </c>
      <c r="P141" s="21">
        <v>5100</v>
      </c>
      <c r="Q141" s="18" t="s">
        <v>246</v>
      </c>
    </row>
    <row r="142" spans="1:17" s="18" customFormat="1" ht="15" customHeight="1" x14ac:dyDescent="0.2">
      <c r="A142" s="29" t="s">
        <v>239</v>
      </c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0">
        <v>2000</v>
      </c>
      <c r="P142" s="21">
        <v>5840</v>
      </c>
      <c r="Q142" s="18" t="s">
        <v>238</v>
      </c>
    </row>
    <row r="143" spans="1:17" s="18" customFormat="1" ht="15" customHeight="1" x14ac:dyDescent="0.2">
      <c r="A143" s="29" t="s">
        <v>211</v>
      </c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0">
        <v>6000</v>
      </c>
      <c r="P143" s="21">
        <v>23100</v>
      </c>
      <c r="Q143" s="18" t="s">
        <v>212</v>
      </c>
    </row>
    <row r="144" spans="1:17" s="18" customFormat="1" ht="15" customHeight="1" x14ac:dyDescent="0.2">
      <c r="A144" s="29" t="s">
        <v>215</v>
      </c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0">
        <v>500</v>
      </c>
      <c r="P144" s="21">
        <v>12345</v>
      </c>
      <c r="Q144" s="18" t="s">
        <v>216</v>
      </c>
    </row>
    <row r="145" spans="1:17" s="18" customFormat="1" ht="15" customHeight="1" outlineLevel="4" x14ac:dyDescent="0.2">
      <c r="A145" s="29" t="s">
        <v>158</v>
      </c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0">
        <v>15000</v>
      </c>
      <c r="P145" s="21">
        <v>123650</v>
      </c>
    </row>
    <row r="146" spans="1:17" s="18" customFormat="1" ht="15" customHeight="1" outlineLevel="4" x14ac:dyDescent="0.2">
      <c r="A146" s="28" t="s">
        <v>222</v>
      </c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0">
        <v>10000</v>
      </c>
      <c r="P146" s="21">
        <v>82500</v>
      </c>
    </row>
    <row r="147" spans="1:17" s="18" customFormat="1" ht="15" customHeight="1" outlineLevel="4" x14ac:dyDescent="0.2">
      <c r="A147" s="28" t="s">
        <v>238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0">
        <v>5000</v>
      </c>
      <c r="P147" s="21">
        <v>41150</v>
      </c>
    </row>
    <row r="148" spans="1:17" s="18" customFormat="1" ht="15" customHeight="1" outlineLevel="4" x14ac:dyDescent="0.2">
      <c r="A148" s="29" t="s">
        <v>160</v>
      </c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0">
        <v>4000</v>
      </c>
      <c r="P148" s="21">
        <v>40085</v>
      </c>
    </row>
    <row r="149" spans="1:17" s="18" customFormat="1" ht="15" customHeight="1" outlineLevel="4" x14ac:dyDescent="0.2">
      <c r="A149" s="28" t="s">
        <v>218</v>
      </c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0">
        <v>500</v>
      </c>
      <c r="P149" s="21">
        <v>4995</v>
      </c>
    </row>
    <row r="150" spans="1:17" s="18" customFormat="1" ht="15" customHeight="1" outlineLevel="4" x14ac:dyDescent="0.2">
      <c r="A150" s="28" t="s">
        <v>229</v>
      </c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0">
        <v>2000</v>
      </c>
      <c r="P150" s="21">
        <v>20420</v>
      </c>
    </row>
    <row r="151" spans="1:17" s="18" customFormat="1" ht="15" customHeight="1" outlineLevel="4" x14ac:dyDescent="0.2">
      <c r="A151" s="28" t="s">
        <v>238</v>
      </c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0">
        <v>500</v>
      </c>
      <c r="P151" s="21">
        <v>4875</v>
      </c>
    </row>
    <row r="152" spans="1:17" s="18" customFormat="1" ht="15" customHeight="1" outlineLevel="4" x14ac:dyDescent="0.2">
      <c r="A152" s="28" t="s">
        <v>245</v>
      </c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0">
        <v>500</v>
      </c>
      <c r="P152" s="21">
        <v>4875</v>
      </c>
    </row>
    <row r="153" spans="1:17" s="18" customFormat="1" ht="15" customHeight="1" outlineLevel="4" x14ac:dyDescent="0.2">
      <c r="A153" s="28" t="s">
        <v>248</v>
      </c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0">
        <v>500</v>
      </c>
      <c r="P153" s="21">
        <v>4920</v>
      </c>
    </row>
    <row r="154" spans="1:17" s="18" customFormat="1" ht="15" customHeight="1" outlineLevel="5" x14ac:dyDescent="0.2">
      <c r="A154" s="29" t="s">
        <v>168</v>
      </c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3">
        <v>800</v>
      </c>
      <c r="P154" s="21">
        <v>3392</v>
      </c>
      <c r="Q154" s="18" t="s">
        <v>242</v>
      </c>
    </row>
    <row r="155" spans="1:17" s="18" customFormat="1" ht="15" customHeight="1" outlineLevel="5" x14ac:dyDescent="0.2">
      <c r="A155" s="29" t="s">
        <v>169</v>
      </c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0">
        <v>5050</v>
      </c>
      <c r="P155" s="21">
        <v>82562.5</v>
      </c>
    </row>
    <row r="156" spans="1:17" s="2" customFormat="1" ht="15" customHeight="1" outlineLevel="5" x14ac:dyDescent="0.2">
      <c r="A156" s="27" t="s">
        <v>216</v>
      </c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5">
        <v>250</v>
      </c>
      <c r="P156" s="4">
        <v>3862.5</v>
      </c>
    </row>
    <row r="157" spans="1:17" s="2" customFormat="1" ht="15" customHeight="1" outlineLevel="5" x14ac:dyDescent="0.2">
      <c r="A157" s="27" t="s">
        <v>218</v>
      </c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5">
        <v>300</v>
      </c>
      <c r="P157" s="4">
        <v>4935</v>
      </c>
    </row>
    <row r="158" spans="1:17" s="2" customFormat="1" ht="15" customHeight="1" outlineLevel="5" x14ac:dyDescent="0.2">
      <c r="A158" s="27" t="s">
        <v>222</v>
      </c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3">
        <v>1000</v>
      </c>
      <c r="P158" s="4">
        <v>15850</v>
      </c>
    </row>
    <row r="159" spans="1:17" s="2" customFormat="1" ht="15" customHeight="1" outlineLevel="5" x14ac:dyDescent="0.2">
      <c r="A159" s="27" t="s">
        <v>224</v>
      </c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3">
        <v>2000</v>
      </c>
      <c r="P159" s="4">
        <v>34320</v>
      </c>
    </row>
    <row r="160" spans="1:17" s="2" customFormat="1" ht="15" customHeight="1" outlineLevel="5" x14ac:dyDescent="0.2">
      <c r="A160" s="27" t="s">
        <v>237</v>
      </c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3">
        <v>1500</v>
      </c>
      <c r="P160" s="4">
        <v>23595</v>
      </c>
    </row>
    <row r="161" spans="1:16" s="2" customFormat="1" ht="15" customHeight="1" x14ac:dyDescent="0.2">
      <c r="A161" s="32" t="s">
        <v>73</v>
      </c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6">
        <v>18000</v>
      </c>
      <c r="P161" s="7">
        <v>56610</v>
      </c>
    </row>
    <row r="162" spans="1:16" s="2" customFormat="1" ht="15" customHeight="1" outlineLevel="5" x14ac:dyDescent="0.2">
      <c r="A162" s="31" t="s">
        <v>74</v>
      </c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">
        <v>2000</v>
      </c>
      <c r="P162" s="4">
        <v>7900</v>
      </c>
    </row>
    <row r="163" spans="1:16" s="17" customFormat="1" ht="15" customHeight="1" outlineLevel="5" x14ac:dyDescent="0.2">
      <c r="A163" s="31" t="s">
        <v>69</v>
      </c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">
        <v>5225</v>
      </c>
      <c r="P163" s="4">
        <v>12226.5</v>
      </c>
    </row>
    <row r="164" spans="1:16" s="17" customFormat="1" ht="15" customHeight="1" outlineLevel="5" x14ac:dyDescent="0.2">
      <c r="A164" s="31" t="s">
        <v>48</v>
      </c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">
        <v>3775</v>
      </c>
      <c r="P164" s="4">
        <v>8833.5</v>
      </c>
    </row>
    <row r="165" spans="1:16" s="2" customFormat="1" ht="15" customHeight="1" outlineLevel="5" x14ac:dyDescent="0.2">
      <c r="A165" s="31" t="s">
        <v>75</v>
      </c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">
        <v>7000</v>
      </c>
      <c r="P165" s="4">
        <v>27650</v>
      </c>
    </row>
    <row r="166" spans="1:16" s="2" customFormat="1" ht="15" customHeight="1" x14ac:dyDescent="0.2">
      <c r="A166" s="32" t="s">
        <v>76</v>
      </c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6">
        <v>16400</v>
      </c>
      <c r="P166" s="7">
        <v>54117</v>
      </c>
    </row>
    <row r="167" spans="1:16" s="2" customFormat="1" ht="15" customHeight="1" outlineLevel="5" x14ac:dyDescent="0.2">
      <c r="A167" s="31" t="s">
        <v>77</v>
      </c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">
        <v>4000</v>
      </c>
      <c r="P167" s="4">
        <v>13800</v>
      </c>
    </row>
    <row r="168" spans="1:16" s="2" customFormat="1" ht="15" customHeight="1" outlineLevel="5" x14ac:dyDescent="0.2">
      <c r="A168" s="31" t="s">
        <v>78</v>
      </c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">
        <v>2000</v>
      </c>
      <c r="P168" s="4">
        <v>7000</v>
      </c>
    </row>
    <row r="169" spans="1:16" s="2" customFormat="1" ht="15" customHeight="1" outlineLevel="5" x14ac:dyDescent="0.2">
      <c r="A169" s="31" t="s">
        <v>79</v>
      </c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5">
        <v>700</v>
      </c>
      <c r="P169" s="4">
        <v>4711</v>
      </c>
    </row>
    <row r="170" spans="1:16" s="2" customFormat="1" ht="15" customHeight="1" outlineLevel="5" x14ac:dyDescent="0.2">
      <c r="A170" s="31" t="s">
        <v>80</v>
      </c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5">
        <v>700</v>
      </c>
      <c r="P170" s="4">
        <v>2086</v>
      </c>
    </row>
    <row r="171" spans="1:16" s="17" customFormat="1" ht="15" customHeight="1" outlineLevel="5" x14ac:dyDescent="0.2">
      <c r="A171" s="31" t="s">
        <v>69</v>
      </c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">
        <v>3000</v>
      </c>
      <c r="P171" s="4">
        <v>7020</v>
      </c>
    </row>
    <row r="172" spans="1:16" s="2" customFormat="1" ht="15" customHeight="1" outlineLevel="5" x14ac:dyDescent="0.2">
      <c r="A172" s="31" t="s">
        <v>81</v>
      </c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">
        <v>6000</v>
      </c>
      <c r="P172" s="4">
        <v>19500</v>
      </c>
    </row>
    <row r="173" spans="1:16" s="2" customFormat="1" ht="15" customHeight="1" x14ac:dyDescent="0.2">
      <c r="A173" s="32" t="s">
        <v>82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8">
        <v>25</v>
      </c>
      <c r="P173" s="7">
        <v>4250</v>
      </c>
    </row>
    <row r="174" spans="1:16" s="2" customFormat="1" ht="15" customHeight="1" outlineLevel="4" x14ac:dyDescent="0.2">
      <c r="A174" s="26" t="s">
        <v>172</v>
      </c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5">
        <v>25</v>
      </c>
      <c r="P174" s="4">
        <v>4250</v>
      </c>
    </row>
    <row r="175" spans="1:16" s="2" customFormat="1" ht="15" customHeight="1" x14ac:dyDescent="0.2">
      <c r="A175" s="32" t="s">
        <v>83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6">
        <v>4000</v>
      </c>
      <c r="P175" s="7">
        <v>31200</v>
      </c>
    </row>
    <row r="176" spans="1:16" s="2" customFormat="1" ht="15" customHeight="1" outlineLevel="4" x14ac:dyDescent="0.2">
      <c r="A176" s="26" t="s">
        <v>173</v>
      </c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3">
        <v>4000</v>
      </c>
      <c r="P176" s="4">
        <v>31200</v>
      </c>
    </row>
    <row r="177" spans="1:16" s="2" customFormat="1" ht="15" customHeight="1" x14ac:dyDescent="0.2">
      <c r="A177" s="32" t="s">
        <v>84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6">
        <v>4000</v>
      </c>
      <c r="P177" s="7">
        <v>24725</v>
      </c>
    </row>
    <row r="178" spans="1:16" s="2" customFormat="1" ht="15" customHeight="1" outlineLevel="5" x14ac:dyDescent="0.2">
      <c r="A178" s="31" t="s">
        <v>85</v>
      </c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">
        <v>1500</v>
      </c>
      <c r="P178" s="4">
        <v>10950</v>
      </c>
    </row>
    <row r="179" spans="1:16" s="2" customFormat="1" ht="15" customHeight="1" outlineLevel="5" x14ac:dyDescent="0.2">
      <c r="A179" s="31" t="s">
        <v>86</v>
      </c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">
        <v>1500</v>
      </c>
      <c r="P179" s="4">
        <v>10275</v>
      </c>
    </row>
    <row r="180" spans="1:16" s="2" customFormat="1" ht="15" customHeight="1" outlineLevel="5" x14ac:dyDescent="0.2">
      <c r="A180" s="31" t="s">
        <v>87</v>
      </c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">
        <v>1000</v>
      </c>
      <c r="P180" s="4">
        <v>3500</v>
      </c>
    </row>
    <row r="181" spans="1:16" s="2" customFormat="1" ht="15" customHeight="1" x14ac:dyDescent="0.2">
      <c r="A181" s="32" t="s">
        <v>88</v>
      </c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6">
        <v>2750</v>
      </c>
      <c r="P181" s="7">
        <v>13177.5</v>
      </c>
    </row>
    <row r="182" spans="1:16" s="2" customFormat="1" ht="15" customHeight="1" outlineLevel="5" x14ac:dyDescent="0.2">
      <c r="A182" s="31" t="s">
        <v>89</v>
      </c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">
        <v>1750</v>
      </c>
      <c r="P182" s="4">
        <v>9677.5</v>
      </c>
    </row>
    <row r="183" spans="1:16" s="2" customFormat="1" ht="15" customHeight="1" outlineLevel="5" x14ac:dyDescent="0.2">
      <c r="A183" s="31" t="s">
        <v>90</v>
      </c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">
        <v>1000</v>
      </c>
      <c r="P183" s="4">
        <v>3500</v>
      </c>
    </row>
    <row r="184" spans="1:16" ht="15" customHeight="1" x14ac:dyDescent="0.2">
      <c r="A184" s="32" t="s">
        <v>91</v>
      </c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6">
        <v>8425</v>
      </c>
      <c r="P184" s="7">
        <v>59144</v>
      </c>
    </row>
    <row r="185" spans="1:16" s="10" customFormat="1" ht="15" customHeight="1" outlineLevel="5" x14ac:dyDescent="0.2">
      <c r="A185" s="31" t="s">
        <v>92</v>
      </c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">
        <v>2000</v>
      </c>
      <c r="P185" s="4">
        <v>7920</v>
      </c>
    </row>
    <row r="186" spans="1:16" s="10" customFormat="1" ht="15" customHeight="1" outlineLevel="5" x14ac:dyDescent="0.2">
      <c r="A186" s="31" t="s">
        <v>93</v>
      </c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">
        <v>2000</v>
      </c>
      <c r="P186" s="4">
        <v>7920</v>
      </c>
    </row>
    <row r="187" spans="1:16" s="10" customFormat="1" ht="15" customHeight="1" outlineLevel="5" x14ac:dyDescent="0.2">
      <c r="A187" s="31" t="s">
        <v>90</v>
      </c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">
        <v>1000</v>
      </c>
      <c r="P187" s="4">
        <v>3500</v>
      </c>
    </row>
    <row r="188" spans="1:16" s="10" customFormat="1" ht="15" customHeight="1" outlineLevel="5" x14ac:dyDescent="0.2">
      <c r="A188" s="31" t="s">
        <v>94</v>
      </c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">
        <v>1850</v>
      </c>
      <c r="P188" s="4">
        <v>13505</v>
      </c>
    </row>
    <row r="189" spans="1:16" s="10" customFormat="1" ht="15" customHeight="1" outlineLevel="5" x14ac:dyDescent="0.2">
      <c r="A189" s="31" t="s">
        <v>85</v>
      </c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5">
        <v>650</v>
      </c>
      <c r="P189" s="4">
        <v>4745</v>
      </c>
    </row>
    <row r="190" spans="1:16" s="10" customFormat="1" ht="15" customHeight="1" outlineLevel="5" x14ac:dyDescent="0.2">
      <c r="A190" s="34" t="s">
        <v>206</v>
      </c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5">
        <v>600</v>
      </c>
      <c r="P190" s="4">
        <v>14814</v>
      </c>
    </row>
    <row r="191" spans="1:16" s="10" customFormat="1" ht="15" customHeight="1" outlineLevel="4" x14ac:dyDescent="0.2">
      <c r="A191" s="34" t="s">
        <v>174</v>
      </c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5">
        <v>300</v>
      </c>
      <c r="P191" s="4">
        <v>2490</v>
      </c>
    </row>
    <row r="192" spans="1:16" s="10" customFormat="1" ht="15" customHeight="1" outlineLevel="4" x14ac:dyDescent="0.2">
      <c r="A192" s="34" t="s">
        <v>145</v>
      </c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5">
        <v>25</v>
      </c>
      <c r="P192" s="4">
        <v>4250</v>
      </c>
    </row>
    <row r="193" spans="1:18" ht="15" customHeight="1" x14ac:dyDescent="0.2">
      <c r="A193" s="32" t="s">
        <v>95</v>
      </c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6">
        <v>2000</v>
      </c>
      <c r="P193" s="7">
        <v>3200</v>
      </c>
    </row>
    <row r="194" spans="1:18" s="2" customFormat="1" ht="15" customHeight="1" outlineLevel="6" x14ac:dyDescent="0.2">
      <c r="A194" s="26" t="s">
        <v>175</v>
      </c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3">
        <v>2000</v>
      </c>
      <c r="P194" s="4">
        <v>3200</v>
      </c>
    </row>
    <row r="195" spans="1:18" ht="15" customHeight="1" x14ac:dyDescent="0.2">
      <c r="A195" s="32" t="s">
        <v>96</v>
      </c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8">
        <v>500</v>
      </c>
      <c r="P195" s="7">
        <v>6605</v>
      </c>
    </row>
    <row r="196" spans="1:18" s="10" customFormat="1" ht="15" customHeight="1" outlineLevel="5" x14ac:dyDescent="0.2">
      <c r="A196" s="31" t="s">
        <v>22</v>
      </c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5">
        <v>500</v>
      </c>
      <c r="P196" s="4">
        <v>6605</v>
      </c>
    </row>
    <row r="197" spans="1:18" s="10" customFormat="1" ht="15" customHeight="1" x14ac:dyDescent="0.2">
      <c r="A197" s="32" t="s">
        <v>97</v>
      </c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6">
        <v>2400</v>
      </c>
      <c r="P197" s="7">
        <v>10640</v>
      </c>
    </row>
    <row r="198" spans="1:18" s="10" customFormat="1" ht="15" customHeight="1" outlineLevel="4" x14ac:dyDescent="0.2">
      <c r="A198" s="26" t="s">
        <v>176</v>
      </c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5">
        <v>400</v>
      </c>
      <c r="P198" s="4">
        <v>3380</v>
      </c>
    </row>
    <row r="199" spans="1:18" s="10" customFormat="1" ht="15" customHeight="1" outlineLevel="5" x14ac:dyDescent="0.2">
      <c r="A199" s="31" t="s">
        <v>6</v>
      </c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">
        <v>2000</v>
      </c>
      <c r="P199" s="4">
        <v>7260</v>
      </c>
    </row>
    <row r="200" spans="1:18" s="10" customFormat="1" ht="15" customHeight="1" x14ac:dyDescent="0.2">
      <c r="A200" s="32" t="s">
        <v>98</v>
      </c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6">
        <v>8000</v>
      </c>
      <c r="P200" s="7">
        <v>33420</v>
      </c>
    </row>
    <row r="201" spans="1:18" s="10" customFormat="1" ht="15" customHeight="1" outlineLevel="5" x14ac:dyDescent="0.2">
      <c r="A201" s="31" t="s">
        <v>99</v>
      </c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">
        <v>6000</v>
      </c>
      <c r="P201" s="4">
        <v>28020</v>
      </c>
    </row>
    <row r="202" spans="1:18" s="10" customFormat="1" ht="15" customHeight="1" outlineLevel="5" x14ac:dyDescent="0.2">
      <c r="A202" s="31" t="s">
        <v>100</v>
      </c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">
        <v>2000</v>
      </c>
      <c r="P202" s="4">
        <v>5400</v>
      </c>
    </row>
    <row r="203" spans="1:18" s="10" customFormat="1" ht="15" customHeight="1" x14ac:dyDescent="0.2">
      <c r="A203" s="32" t="s">
        <v>101</v>
      </c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6">
        <v>10750</v>
      </c>
      <c r="P203" s="7">
        <v>79337.5</v>
      </c>
      <c r="Q203" s="2"/>
      <c r="R203" s="4"/>
    </row>
    <row r="204" spans="1:18" s="2" customFormat="1" ht="15" customHeight="1" outlineLevel="5" x14ac:dyDescent="0.2">
      <c r="A204" s="31" t="s">
        <v>102</v>
      </c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">
        <v>3000</v>
      </c>
      <c r="P204" s="4">
        <v>10620</v>
      </c>
    </row>
    <row r="205" spans="1:18" s="2" customFormat="1" ht="15" customHeight="1" outlineLevel="5" x14ac:dyDescent="0.2">
      <c r="A205" s="31" t="s">
        <v>103</v>
      </c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">
        <v>1500</v>
      </c>
      <c r="P205" s="4">
        <v>23115</v>
      </c>
    </row>
    <row r="206" spans="1:18" s="2" customFormat="1" ht="15" customHeight="1" outlineLevel="5" x14ac:dyDescent="0.2">
      <c r="A206" s="31" t="s">
        <v>104</v>
      </c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">
        <v>2000</v>
      </c>
      <c r="P206" s="4">
        <v>7100</v>
      </c>
    </row>
    <row r="207" spans="1:18" s="18" customFormat="1" ht="15" customHeight="1" outlineLevel="4" x14ac:dyDescent="0.2">
      <c r="A207" s="29" t="s">
        <v>173</v>
      </c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0">
        <v>3000</v>
      </c>
      <c r="P207" s="21">
        <v>23400</v>
      </c>
    </row>
    <row r="208" spans="1:18" s="18" customFormat="1" ht="15" customHeight="1" outlineLevel="4" x14ac:dyDescent="0.2">
      <c r="A208" s="29" t="s">
        <v>176</v>
      </c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0">
        <v>250</v>
      </c>
      <c r="P208" s="21">
        <v>2052.5</v>
      </c>
      <c r="Q208" s="20"/>
      <c r="R208" s="21"/>
    </row>
    <row r="209" spans="1:16" s="18" customFormat="1" ht="15" customHeight="1" outlineLevel="5" x14ac:dyDescent="0.2">
      <c r="A209" s="33" t="s">
        <v>22</v>
      </c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20">
        <v>1000</v>
      </c>
      <c r="P209" s="21">
        <v>13050</v>
      </c>
    </row>
    <row r="210" spans="1:16" s="2" customFormat="1" ht="15" customHeight="1" x14ac:dyDescent="0.2">
      <c r="A210" s="32" t="s">
        <v>105</v>
      </c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6">
        <v>5050</v>
      </c>
      <c r="P210" s="7">
        <v>20650</v>
      </c>
    </row>
    <row r="211" spans="1:16" s="2" customFormat="1" ht="15" customHeight="1" outlineLevel="5" x14ac:dyDescent="0.2">
      <c r="A211" s="31" t="s">
        <v>106</v>
      </c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5">
        <v>800</v>
      </c>
      <c r="P211" s="4">
        <v>1400</v>
      </c>
    </row>
    <row r="212" spans="1:16" s="2" customFormat="1" ht="15" customHeight="1" outlineLevel="5" x14ac:dyDescent="0.2">
      <c r="A212" s="31" t="s">
        <v>64</v>
      </c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">
        <v>2200</v>
      </c>
      <c r="P212" s="4">
        <v>3850</v>
      </c>
    </row>
    <row r="213" spans="1:16" s="2" customFormat="1" ht="15" customHeight="1" outlineLevel="5" x14ac:dyDescent="0.2">
      <c r="A213" s="31" t="s">
        <v>107</v>
      </c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">
        <v>2000</v>
      </c>
      <c r="P213" s="4">
        <v>6900</v>
      </c>
    </row>
    <row r="214" spans="1:16" s="2" customFormat="1" ht="15" customHeight="1" outlineLevel="4" x14ac:dyDescent="0.2">
      <c r="A214" s="26" t="s">
        <v>172</v>
      </c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5">
        <v>50</v>
      </c>
      <c r="P214" s="4">
        <v>8500</v>
      </c>
    </row>
    <row r="215" spans="1:16" s="2" customFormat="1" ht="15" customHeight="1" outlineLevel="4" x14ac:dyDescent="0.2">
      <c r="A215" s="32" t="s">
        <v>204</v>
      </c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6">
        <v>1500</v>
      </c>
      <c r="P215" s="7">
        <v>4935</v>
      </c>
    </row>
    <row r="216" spans="1:16" s="2" customFormat="1" ht="15" customHeight="1" outlineLevel="4" x14ac:dyDescent="0.2">
      <c r="A216" s="31" t="s">
        <v>205</v>
      </c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">
        <v>1500</v>
      </c>
      <c r="P216" s="4">
        <v>4935</v>
      </c>
    </row>
    <row r="217" spans="1:16" s="2" customFormat="1" ht="15" customHeight="1" x14ac:dyDescent="0.2">
      <c r="A217" s="32" t="s">
        <v>108</v>
      </c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6">
        <v>1025</v>
      </c>
      <c r="P217" s="7">
        <v>7230</v>
      </c>
    </row>
    <row r="218" spans="1:16" s="2" customFormat="1" ht="15" customHeight="1" outlineLevel="5" x14ac:dyDescent="0.2">
      <c r="A218" s="31" t="s">
        <v>109</v>
      </c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">
        <v>1000</v>
      </c>
      <c r="P218" s="4">
        <v>2980</v>
      </c>
    </row>
    <row r="219" spans="1:16" s="2" customFormat="1" ht="15" customHeight="1" outlineLevel="4" x14ac:dyDescent="0.2">
      <c r="A219" s="26" t="s">
        <v>172</v>
      </c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5">
        <v>25</v>
      </c>
      <c r="P219" s="4">
        <v>4250</v>
      </c>
    </row>
    <row r="220" spans="1:16" s="2" customFormat="1" ht="15" customHeight="1" x14ac:dyDescent="0.2">
      <c r="A220" s="32" t="s">
        <v>110</v>
      </c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6">
        <v>11300</v>
      </c>
      <c r="P220" s="7">
        <v>139188</v>
      </c>
    </row>
    <row r="221" spans="1:16" s="2" customFormat="1" ht="15" customHeight="1" outlineLevel="5" x14ac:dyDescent="0.2">
      <c r="A221" s="31" t="s">
        <v>111</v>
      </c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">
        <v>2000</v>
      </c>
      <c r="P221" s="4">
        <v>32660</v>
      </c>
    </row>
    <row r="222" spans="1:16" s="2" customFormat="1" ht="15" customHeight="1" outlineLevel="5" x14ac:dyDescent="0.2">
      <c r="A222" s="31" t="s">
        <v>112</v>
      </c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">
        <v>2500</v>
      </c>
      <c r="P222" s="4">
        <v>34375</v>
      </c>
    </row>
    <row r="223" spans="1:16" s="2" customFormat="1" ht="15" customHeight="1" outlineLevel="5" x14ac:dyDescent="0.2">
      <c r="A223" s="31" t="s">
        <v>85</v>
      </c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">
        <v>3000</v>
      </c>
      <c r="P223" s="4">
        <v>21900</v>
      </c>
    </row>
    <row r="224" spans="1:16" s="2" customFormat="1" ht="15" customHeight="1" outlineLevel="5" x14ac:dyDescent="0.2">
      <c r="A224" s="31" t="s">
        <v>113</v>
      </c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">
        <v>3000</v>
      </c>
      <c r="P224" s="4">
        <v>41250</v>
      </c>
    </row>
    <row r="225" spans="1:16" s="2" customFormat="1" ht="15" customHeight="1" outlineLevel="4" x14ac:dyDescent="0.2">
      <c r="A225" s="26" t="s">
        <v>176</v>
      </c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5">
        <v>500</v>
      </c>
      <c r="P225" s="4">
        <v>4185</v>
      </c>
    </row>
    <row r="226" spans="1:16" s="2" customFormat="1" ht="15" customHeight="1" outlineLevel="4" x14ac:dyDescent="0.2">
      <c r="A226" s="26" t="s">
        <v>177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5">
        <v>300</v>
      </c>
      <c r="P226" s="4">
        <v>4818</v>
      </c>
    </row>
    <row r="227" spans="1:16" s="2" customFormat="1" ht="15" customHeight="1" x14ac:dyDescent="0.2">
      <c r="A227" s="32" t="s">
        <v>114</v>
      </c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6">
        <v>2000</v>
      </c>
      <c r="P227" s="7">
        <v>10210</v>
      </c>
    </row>
    <row r="228" spans="1:16" s="2" customFormat="1" ht="15" customHeight="1" outlineLevel="5" x14ac:dyDescent="0.2">
      <c r="A228" s="31" t="s">
        <v>115</v>
      </c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">
        <v>1000</v>
      </c>
      <c r="P228" s="4">
        <v>3420</v>
      </c>
    </row>
    <row r="229" spans="1:16" s="2" customFormat="1" ht="15" customHeight="1" outlineLevel="5" x14ac:dyDescent="0.2">
      <c r="A229" s="31" t="s">
        <v>116</v>
      </c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">
        <v>1000</v>
      </c>
      <c r="P229" s="4">
        <v>6790</v>
      </c>
    </row>
    <row r="230" spans="1:16" s="2" customFormat="1" ht="15" customHeight="1" x14ac:dyDescent="0.2">
      <c r="A230" s="32" t="s">
        <v>117</v>
      </c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8">
        <v>200</v>
      </c>
      <c r="P230" s="11">
        <v>740</v>
      </c>
    </row>
    <row r="231" spans="1:16" s="2" customFormat="1" ht="15" customHeight="1" outlineLevel="5" x14ac:dyDescent="0.2">
      <c r="A231" s="31" t="s">
        <v>6</v>
      </c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5">
        <v>200</v>
      </c>
      <c r="P231" s="9">
        <v>740</v>
      </c>
    </row>
    <row r="232" spans="1:16" s="2" customFormat="1" ht="15" customHeight="1" x14ac:dyDescent="0.2">
      <c r="A232" s="32" t="s">
        <v>118</v>
      </c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6">
        <v>13000</v>
      </c>
      <c r="P232" s="7">
        <v>272650</v>
      </c>
    </row>
    <row r="233" spans="1:16" s="2" customFormat="1" ht="15" customHeight="1" outlineLevel="5" x14ac:dyDescent="0.2">
      <c r="A233" s="31" t="s">
        <v>67</v>
      </c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">
        <v>6000</v>
      </c>
      <c r="P233" s="4">
        <v>202200</v>
      </c>
    </row>
    <row r="234" spans="1:16" s="2" customFormat="1" ht="15" customHeight="1" outlineLevel="4" x14ac:dyDescent="0.2">
      <c r="A234" s="26" t="s">
        <v>176</v>
      </c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3">
        <v>5000</v>
      </c>
      <c r="P234" s="4">
        <v>41850</v>
      </c>
    </row>
    <row r="235" spans="1:16" s="2" customFormat="1" ht="15" customHeight="1" outlineLevel="5" x14ac:dyDescent="0.2">
      <c r="A235" s="31" t="s">
        <v>22</v>
      </c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">
        <v>2000</v>
      </c>
      <c r="P235" s="4">
        <v>28600</v>
      </c>
    </row>
    <row r="236" spans="1:16" s="2" customFormat="1" ht="15" customHeight="1" x14ac:dyDescent="0.2">
      <c r="A236" s="32" t="s">
        <v>119</v>
      </c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6">
        <v>69400</v>
      </c>
      <c r="P236" s="7">
        <v>185703</v>
      </c>
    </row>
    <row r="237" spans="1:16" s="2" customFormat="1" ht="15" customHeight="1" outlineLevel="5" x14ac:dyDescent="0.2">
      <c r="A237" s="31" t="s">
        <v>120</v>
      </c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">
        <v>1300</v>
      </c>
      <c r="P237" s="4">
        <v>8671</v>
      </c>
    </row>
    <row r="238" spans="1:16" s="2" customFormat="1" ht="15" customHeight="1" outlineLevel="5" x14ac:dyDescent="0.2">
      <c r="A238" s="31" t="s">
        <v>121</v>
      </c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">
        <v>3600</v>
      </c>
      <c r="P238" s="4">
        <v>9432</v>
      </c>
    </row>
    <row r="239" spans="1:16" s="2" customFormat="1" ht="15" customHeight="1" outlineLevel="5" x14ac:dyDescent="0.2">
      <c r="A239" s="31" t="s">
        <v>122</v>
      </c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">
        <v>4000</v>
      </c>
      <c r="P239" s="4">
        <v>9320</v>
      </c>
    </row>
    <row r="240" spans="1:16" s="2" customFormat="1" ht="15" customHeight="1" outlineLevel="5" x14ac:dyDescent="0.2">
      <c r="A240" s="31" t="s">
        <v>123</v>
      </c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">
        <v>1500</v>
      </c>
      <c r="P240" s="4">
        <v>3900</v>
      </c>
    </row>
    <row r="241" spans="1:16" s="17" customFormat="1" ht="15" customHeight="1" outlineLevel="5" x14ac:dyDescent="0.2">
      <c r="A241" s="31" t="s">
        <v>68</v>
      </c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5">
        <v>700</v>
      </c>
      <c r="P241" s="4">
        <v>1638</v>
      </c>
    </row>
    <row r="242" spans="1:16" s="17" customFormat="1" ht="15" customHeight="1" outlineLevel="5" x14ac:dyDescent="0.2">
      <c r="A242" s="31" t="s">
        <v>48</v>
      </c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">
        <v>12300</v>
      </c>
      <c r="P242" s="4">
        <v>28782</v>
      </c>
    </row>
    <row r="243" spans="1:16" s="2" customFormat="1" ht="15" customHeight="1" outlineLevel="5" x14ac:dyDescent="0.2">
      <c r="A243" s="31" t="s">
        <v>124</v>
      </c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">
        <v>4000</v>
      </c>
      <c r="P243" s="4">
        <v>8560</v>
      </c>
    </row>
    <row r="244" spans="1:16" s="2" customFormat="1" ht="15" customHeight="1" outlineLevel="5" x14ac:dyDescent="0.2">
      <c r="A244" s="31" t="s">
        <v>125</v>
      </c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">
        <v>14000</v>
      </c>
      <c r="P244" s="4">
        <v>29960</v>
      </c>
    </row>
    <row r="245" spans="1:16" s="2" customFormat="1" ht="15" customHeight="1" outlineLevel="5" x14ac:dyDescent="0.2">
      <c r="A245" s="31" t="s">
        <v>126</v>
      </c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">
        <v>14000</v>
      </c>
      <c r="P245" s="4">
        <v>29960</v>
      </c>
    </row>
    <row r="246" spans="1:16" s="2" customFormat="1" ht="15" customHeight="1" outlineLevel="5" x14ac:dyDescent="0.2">
      <c r="A246" s="31" t="s">
        <v>127</v>
      </c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">
        <v>10000</v>
      </c>
      <c r="P246" s="4">
        <v>21400</v>
      </c>
    </row>
    <row r="247" spans="1:16" s="2" customFormat="1" ht="15" customHeight="1" outlineLevel="4" x14ac:dyDescent="0.2">
      <c r="A247" s="26" t="s">
        <v>176</v>
      </c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3">
        <v>4000</v>
      </c>
      <c r="P247" s="4">
        <v>34080</v>
      </c>
    </row>
    <row r="248" spans="1:16" s="2" customFormat="1" ht="15" customHeight="1" x14ac:dyDescent="0.2">
      <c r="A248" s="32" t="s">
        <v>128</v>
      </c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8">
        <v>300</v>
      </c>
      <c r="P248" s="7">
        <v>2538</v>
      </c>
    </row>
    <row r="249" spans="1:16" s="2" customFormat="1" ht="15" customHeight="1" outlineLevel="4" x14ac:dyDescent="0.2">
      <c r="A249" s="26" t="s">
        <v>176</v>
      </c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5">
        <v>300</v>
      </c>
      <c r="P249" s="4">
        <v>2538</v>
      </c>
    </row>
    <row r="250" spans="1:16" s="2" customFormat="1" ht="15" customHeight="1" x14ac:dyDescent="0.2">
      <c r="A250" s="32" t="s">
        <v>129</v>
      </c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6">
        <v>10500</v>
      </c>
      <c r="P250" s="7">
        <v>68620</v>
      </c>
    </row>
    <row r="251" spans="1:16" s="2" customFormat="1" ht="15" customHeight="1" outlineLevel="5" x14ac:dyDescent="0.2">
      <c r="A251" s="31" t="s">
        <v>130</v>
      </c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">
        <v>5000</v>
      </c>
      <c r="P251" s="4">
        <v>44500</v>
      </c>
    </row>
    <row r="252" spans="1:16" s="2" customFormat="1" ht="15" customHeight="1" outlineLevel="5" x14ac:dyDescent="0.2">
      <c r="A252" s="31" t="s">
        <v>131</v>
      </c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5">
        <v>500</v>
      </c>
      <c r="P252" s="4">
        <v>4700</v>
      </c>
    </row>
    <row r="253" spans="1:16" s="2" customFormat="1" ht="15" customHeight="1" outlineLevel="5" x14ac:dyDescent="0.2">
      <c r="A253" s="31" t="s">
        <v>132</v>
      </c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">
        <v>1000</v>
      </c>
      <c r="P253" s="4">
        <v>5300</v>
      </c>
    </row>
    <row r="254" spans="1:16" s="2" customFormat="1" ht="15" customHeight="1" outlineLevel="5" x14ac:dyDescent="0.2">
      <c r="A254" s="31" t="s">
        <v>6</v>
      </c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">
        <v>4000</v>
      </c>
      <c r="P254" s="4">
        <v>14120</v>
      </c>
    </row>
    <row r="255" spans="1:16" ht="15" customHeight="1" x14ac:dyDescent="0.2">
      <c r="A255" s="32" t="s">
        <v>133</v>
      </c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6">
        <v>13000</v>
      </c>
      <c r="P255" s="7">
        <v>24760</v>
      </c>
    </row>
    <row r="256" spans="1:16" s="2" customFormat="1" ht="15" customHeight="1" outlineLevel="6" x14ac:dyDescent="0.2">
      <c r="A256" s="26" t="s">
        <v>175</v>
      </c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3">
        <v>5000</v>
      </c>
      <c r="P256" s="4">
        <v>8000</v>
      </c>
    </row>
    <row r="257" spans="1:16" s="2" customFormat="1" ht="15" customHeight="1" outlineLevel="6" x14ac:dyDescent="0.2">
      <c r="A257" s="26" t="s">
        <v>178</v>
      </c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3">
        <v>5000</v>
      </c>
      <c r="P257" s="4">
        <v>8000</v>
      </c>
    </row>
    <row r="258" spans="1:16" s="2" customFormat="1" ht="15" customHeight="1" outlineLevel="5" x14ac:dyDescent="0.2">
      <c r="A258" s="31" t="s">
        <v>134</v>
      </c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">
        <v>3000</v>
      </c>
      <c r="P258" s="4">
        <v>8760</v>
      </c>
    </row>
    <row r="259" spans="1:16" s="2" customFormat="1" ht="15" customHeight="1" x14ac:dyDescent="0.2">
      <c r="A259" s="32" t="s">
        <v>135</v>
      </c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6">
        <v>16000</v>
      </c>
      <c r="P259" s="7">
        <v>25600</v>
      </c>
    </row>
    <row r="260" spans="1:16" s="2" customFormat="1" ht="15" customHeight="1" outlineLevel="6" x14ac:dyDescent="0.2">
      <c r="A260" s="26" t="s">
        <v>175</v>
      </c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3">
        <v>8000</v>
      </c>
      <c r="P260" s="4">
        <v>12800</v>
      </c>
    </row>
    <row r="261" spans="1:16" s="2" customFormat="1" ht="15" customHeight="1" outlineLevel="6" x14ac:dyDescent="0.2">
      <c r="A261" s="26" t="s">
        <v>178</v>
      </c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3">
        <v>8000</v>
      </c>
      <c r="P261" s="4">
        <v>12800</v>
      </c>
    </row>
    <row r="262" spans="1:16" s="2" customFormat="1" ht="15" customHeight="1" x14ac:dyDescent="0.2">
      <c r="A262" s="32" t="s">
        <v>136</v>
      </c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6">
        <v>1000</v>
      </c>
      <c r="P262" s="7">
        <v>12150</v>
      </c>
    </row>
    <row r="263" spans="1:16" s="2" customFormat="1" ht="15" customHeight="1" outlineLevel="5" x14ac:dyDescent="0.2">
      <c r="A263" s="31" t="s">
        <v>137</v>
      </c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">
        <v>1000</v>
      </c>
      <c r="P263" s="4">
        <v>12150</v>
      </c>
    </row>
    <row r="264" spans="1:16" s="2" customFormat="1" ht="15" customHeight="1" x14ac:dyDescent="0.2">
      <c r="A264" s="32" t="s">
        <v>138</v>
      </c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6">
        <v>51800</v>
      </c>
      <c r="P264" s="7">
        <v>181760</v>
      </c>
    </row>
    <row r="265" spans="1:16" s="2" customFormat="1" ht="15" customHeight="1" outlineLevel="5" x14ac:dyDescent="0.2">
      <c r="A265" s="31" t="s">
        <v>139</v>
      </c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">
        <v>3000</v>
      </c>
      <c r="P265" s="4">
        <v>15180</v>
      </c>
    </row>
    <row r="266" spans="1:16" s="2" customFormat="1" ht="15" customHeight="1" outlineLevel="5" x14ac:dyDescent="0.2">
      <c r="A266" s="31" t="s">
        <v>140</v>
      </c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">
        <v>2000</v>
      </c>
      <c r="P266" s="4">
        <v>10120</v>
      </c>
    </row>
    <row r="267" spans="1:16" s="2" customFormat="1" ht="15" customHeight="1" outlineLevel="5" x14ac:dyDescent="0.2">
      <c r="A267" s="31" t="s">
        <v>85</v>
      </c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">
        <v>1000</v>
      </c>
      <c r="P267" s="4">
        <v>7300</v>
      </c>
    </row>
    <row r="268" spans="1:16" s="2" customFormat="1" ht="15" customHeight="1" outlineLevel="5" x14ac:dyDescent="0.2">
      <c r="A268" s="31" t="s">
        <v>141</v>
      </c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">
        <v>11000</v>
      </c>
      <c r="P268" s="4">
        <v>29810</v>
      </c>
    </row>
    <row r="269" spans="1:16" s="2" customFormat="1" ht="15" customHeight="1" outlineLevel="5" x14ac:dyDescent="0.2">
      <c r="A269" s="31" t="s">
        <v>71</v>
      </c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">
        <v>29000</v>
      </c>
      <c r="P269" s="4">
        <v>78590</v>
      </c>
    </row>
    <row r="270" spans="1:16" s="2" customFormat="1" ht="15" customHeight="1" outlineLevel="5" x14ac:dyDescent="0.2">
      <c r="A270" s="31" t="s">
        <v>142</v>
      </c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">
        <v>3000</v>
      </c>
      <c r="P270" s="4">
        <v>8130</v>
      </c>
    </row>
    <row r="271" spans="1:16" s="2" customFormat="1" ht="15" customHeight="1" outlineLevel="5" x14ac:dyDescent="0.2">
      <c r="A271" s="31" t="s">
        <v>143</v>
      </c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5">
        <v>600</v>
      </c>
      <c r="P271" s="4">
        <v>6870</v>
      </c>
    </row>
    <row r="272" spans="1:16" s="2" customFormat="1" ht="15" customHeight="1" outlineLevel="5" x14ac:dyDescent="0.2">
      <c r="A272" s="31" t="s">
        <v>144</v>
      </c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">
        <v>2000</v>
      </c>
      <c r="P272" s="4">
        <v>22900</v>
      </c>
    </row>
    <row r="273" spans="1:16" s="2" customFormat="1" ht="15" customHeight="1" outlineLevel="5" x14ac:dyDescent="0.2">
      <c r="A273" s="31" t="s">
        <v>22</v>
      </c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5">
        <v>200</v>
      </c>
      <c r="P273" s="4">
        <v>2860</v>
      </c>
    </row>
  </sheetData>
  <mergeCells count="273">
    <mergeCell ref="A122:N122"/>
    <mergeCell ref="A2:N2"/>
    <mergeCell ref="O2:O5"/>
    <mergeCell ref="P2:P5"/>
    <mergeCell ref="A3:N3"/>
    <mergeCell ref="A6:N6"/>
    <mergeCell ref="A7:N7"/>
    <mergeCell ref="A8:N8"/>
    <mergeCell ref="A4:N5"/>
    <mergeCell ref="A9:N9"/>
    <mergeCell ref="A10:N10"/>
    <mergeCell ref="A11:N11"/>
    <mergeCell ref="A12:N12"/>
    <mergeCell ref="A13:N13"/>
    <mergeCell ref="A14:N14"/>
    <mergeCell ref="A15:N15"/>
    <mergeCell ref="A16:N16"/>
    <mergeCell ref="A17:N17"/>
    <mergeCell ref="A18:N18"/>
    <mergeCell ref="A19:N19"/>
    <mergeCell ref="A20:N20"/>
    <mergeCell ref="A21:N21"/>
    <mergeCell ref="A22:N22"/>
    <mergeCell ref="A23:N23"/>
    <mergeCell ref="A24:N24"/>
    <mergeCell ref="A25:N25"/>
    <mergeCell ref="A26:N26"/>
    <mergeCell ref="A27:N27"/>
    <mergeCell ref="A28:N28"/>
    <mergeCell ref="A29:N29"/>
    <mergeCell ref="A30:N30"/>
    <mergeCell ref="A31:N31"/>
    <mergeCell ref="A32:N32"/>
    <mergeCell ref="A33:N33"/>
    <mergeCell ref="A34:N34"/>
    <mergeCell ref="A56:N56"/>
    <mergeCell ref="A57:N57"/>
    <mergeCell ref="A58:N58"/>
    <mergeCell ref="A59:N59"/>
    <mergeCell ref="A52:N52"/>
    <mergeCell ref="A53:N53"/>
    <mergeCell ref="A54:N54"/>
    <mergeCell ref="A55:N55"/>
    <mergeCell ref="A35:N35"/>
    <mergeCell ref="A36:N36"/>
    <mergeCell ref="A37:N37"/>
    <mergeCell ref="A38:N38"/>
    <mergeCell ref="A39:N39"/>
    <mergeCell ref="A40:N40"/>
    <mergeCell ref="A41:N41"/>
    <mergeCell ref="A42:N42"/>
    <mergeCell ref="A43:N43"/>
    <mergeCell ref="A44:N44"/>
    <mergeCell ref="A45:N45"/>
    <mergeCell ref="A46:N46"/>
    <mergeCell ref="A47:N47"/>
    <mergeCell ref="A48:N48"/>
    <mergeCell ref="A49:N49"/>
    <mergeCell ref="A50:N50"/>
    <mergeCell ref="A51:N51"/>
    <mergeCell ref="A68:N68"/>
    <mergeCell ref="A69:N69"/>
    <mergeCell ref="A70:N70"/>
    <mergeCell ref="A64:N64"/>
    <mergeCell ref="A65:N65"/>
    <mergeCell ref="A66:N66"/>
    <mergeCell ref="A67:N67"/>
    <mergeCell ref="A60:N60"/>
    <mergeCell ref="A61:N61"/>
    <mergeCell ref="A62:N62"/>
    <mergeCell ref="A63:N63"/>
    <mergeCell ref="A71:N71"/>
    <mergeCell ref="A72:N72"/>
    <mergeCell ref="A73:N73"/>
    <mergeCell ref="A74:N74"/>
    <mergeCell ref="A75:N75"/>
    <mergeCell ref="A76:N76"/>
    <mergeCell ref="A77:N77"/>
    <mergeCell ref="A78:N78"/>
    <mergeCell ref="A79:N79"/>
    <mergeCell ref="A80:N80"/>
    <mergeCell ref="A81:N81"/>
    <mergeCell ref="A82:N82"/>
    <mergeCell ref="A83:N83"/>
    <mergeCell ref="A84:N84"/>
    <mergeCell ref="A85:N85"/>
    <mergeCell ref="A86:N86"/>
    <mergeCell ref="A87:N87"/>
    <mergeCell ref="A88:N88"/>
    <mergeCell ref="A89:N89"/>
    <mergeCell ref="A90:N90"/>
    <mergeCell ref="A91:N91"/>
    <mergeCell ref="A92:N92"/>
    <mergeCell ref="A93:N93"/>
    <mergeCell ref="A94:N94"/>
    <mergeCell ref="A95:N95"/>
    <mergeCell ref="A96:N96"/>
    <mergeCell ref="A97:N97"/>
    <mergeCell ref="A109:N109"/>
    <mergeCell ref="A108:N108"/>
    <mergeCell ref="A106:N106"/>
    <mergeCell ref="A107:N107"/>
    <mergeCell ref="A104:N104"/>
    <mergeCell ref="A105:N105"/>
    <mergeCell ref="A103:N103"/>
    <mergeCell ref="A102:N102"/>
    <mergeCell ref="A98:N98"/>
    <mergeCell ref="A99:N99"/>
    <mergeCell ref="A100:N100"/>
    <mergeCell ref="A101:N101"/>
    <mergeCell ref="A116:N116"/>
    <mergeCell ref="A145:N145"/>
    <mergeCell ref="A110:N110"/>
    <mergeCell ref="A111:N111"/>
    <mergeCell ref="A131:N131"/>
    <mergeCell ref="A133:N133"/>
    <mergeCell ref="A135:N135"/>
    <mergeCell ref="A136:N136"/>
    <mergeCell ref="A137:N137"/>
    <mergeCell ref="A138:N138"/>
    <mergeCell ref="A134:N134"/>
    <mergeCell ref="A139:N139"/>
    <mergeCell ref="A143:N143"/>
    <mergeCell ref="A112:N112"/>
    <mergeCell ref="A115:N115"/>
    <mergeCell ref="A144:N144"/>
    <mergeCell ref="A118:N118"/>
    <mergeCell ref="A119:N119"/>
    <mergeCell ref="A120:N120"/>
    <mergeCell ref="A121:N121"/>
    <mergeCell ref="A125:N125"/>
    <mergeCell ref="A127:N127"/>
    <mergeCell ref="A123:N123"/>
    <mergeCell ref="A124:N124"/>
    <mergeCell ref="A170:N170"/>
    <mergeCell ref="A167:N167"/>
    <mergeCell ref="A168:N168"/>
    <mergeCell ref="A169:N169"/>
    <mergeCell ref="A165:N165"/>
    <mergeCell ref="A166:N166"/>
    <mergeCell ref="A164:N164"/>
    <mergeCell ref="A163:N163"/>
    <mergeCell ref="A161:N161"/>
    <mergeCell ref="A162:N162"/>
    <mergeCell ref="A180:N180"/>
    <mergeCell ref="A178:N178"/>
    <mergeCell ref="A179:N179"/>
    <mergeCell ref="A175:N175"/>
    <mergeCell ref="A176:N176"/>
    <mergeCell ref="A177:N177"/>
    <mergeCell ref="A173:N173"/>
    <mergeCell ref="A174:N174"/>
    <mergeCell ref="A171:N171"/>
    <mergeCell ref="A172:N172"/>
    <mergeCell ref="A195:N195"/>
    <mergeCell ref="A196:N196"/>
    <mergeCell ref="A202:N202"/>
    <mergeCell ref="A203:N203"/>
    <mergeCell ref="A191:N191"/>
    <mergeCell ref="A192:N192"/>
    <mergeCell ref="A193:N193"/>
    <mergeCell ref="A194:N194"/>
    <mergeCell ref="A181:N181"/>
    <mergeCell ref="A182:N182"/>
    <mergeCell ref="A183:N183"/>
    <mergeCell ref="A184:N184"/>
    <mergeCell ref="A185:N185"/>
    <mergeCell ref="A186:N186"/>
    <mergeCell ref="A187:N187"/>
    <mergeCell ref="A188:N188"/>
    <mergeCell ref="A189:N189"/>
    <mergeCell ref="A190:N190"/>
    <mergeCell ref="A207:N207"/>
    <mergeCell ref="A206:N206"/>
    <mergeCell ref="A204:N204"/>
    <mergeCell ref="A205:N205"/>
    <mergeCell ref="A200:N200"/>
    <mergeCell ref="A201:N201"/>
    <mergeCell ref="A199:N199"/>
    <mergeCell ref="A197:N197"/>
    <mergeCell ref="A198:N198"/>
    <mergeCell ref="A218:N218"/>
    <mergeCell ref="A214:N214"/>
    <mergeCell ref="A217:N217"/>
    <mergeCell ref="A213:N213"/>
    <mergeCell ref="A211:N211"/>
    <mergeCell ref="A212:N212"/>
    <mergeCell ref="A209:N209"/>
    <mergeCell ref="A210:N210"/>
    <mergeCell ref="A208:N208"/>
    <mergeCell ref="A215:N215"/>
    <mergeCell ref="A216:N216"/>
    <mergeCell ref="A226:N226"/>
    <mergeCell ref="A227:N227"/>
    <mergeCell ref="A224:N224"/>
    <mergeCell ref="A225:N225"/>
    <mergeCell ref="A223:N223"/>
    <mergeCell ref="A221:N221"/>
    <mergeCell ref="A222:N222"/>
    <mergeCell ref="A219:N219"/>
    <mergeCell ref="A220:N220"/>
    <mergeCell ref="A235:N235"/>
    <mergeCell ref="A236:N236"/>
    <mergeCell ref="A234:N234"/>
    <mergeCell ref="A232:N232"/>
    <mergeCell ref="A233:N233"/>
    <mergeCell ref="A230:N230"/>
    <mergeCell ref="A231:N231"/>
    <mergeCell ref="A228:N228"/>
    <mergeCell ref="A229:N229"/>
    <mergeCell ref="A244:N244"/>
    <mergeCell ref="A245:N245"/>
    <mergeCell ref="A243:N243"/>
    <mergeCell ref="A242:N242"/>
    <mergeCell ref="A241:N241"/>
    <mergeCell ref="A239:N239"/>
    <mergeCell ref="A240:N240"/>
    <mergeCell ref="A237:N237"/>
    <mergeCell ref="A238:N238"/>
    <mergeCell ref="A256:N256"/>
    <mergeCell ref="A254:N254"/>
    <mergeCell ref="A253:N253"/>
    <mergeCell ref="A251:N251"/>
    <mergeCell ref="A252:N252"/>
    <mergeCell ref="A248:N248"/>
    <mergeCell ref="A249:N249"/>
    <mergeCell ref="A250:N250"/>
    <mergeCell ref="A246:N246"/>
    <mergeCell ref="A247:N247"/>
    <mergeCell ref="A117:N117"/>
    <mergeCell ref="A113:N113"/>
    <mergeCell ref="A114:N114"/>
    <mergeCell ref="A273:N273"/>
    <mergeCell ref="A270:N270"/>
    <mergeCell ref="A271:N271"/>
    <mergeCell ref="A269:N269"/>
    <mergeCell ref="A272:N272"/>
    <mergeCell ref="A268:N268"/>
    <mergeCell ref="A265:N265"/>
    <mergeCell ref="A266:N266"/>
    <mergeCell ref="A267:N267"/>
    <mergeCell ref="A263:N263"/>
    <mergeCell ref="A264:N264"/>
    <mergeCell ref="A261:N261"/>
    <mergeCell ref="A262:N262"/>
    <mergeCell ref="A259:N259"/>
    <mergeCell ref="A260:N260"/>
    <mergeCell ref="A257:N257"/>
    <mergeCell ref="A258:N258"/>
    <mergeCell ref="A255:N255"/>
    <mergeCell ref="A158:N158"/>
    <mergeCell ref="A146:N146"/>
    <mergeCell ref="A147:N147"/>
    <mergeCell ref="A126:N126"/>
    <mergeCell ref="A160:N160"/>
    <mergeCell ref="A151:N151"/>
    <mergeCell ref="A142:N142"/>
    <mergeCell ref="A132:N132"/>
    <mergeCell ref="A159:N159"/>
    <mergeCell ref="A130:N130"/>
    <mergeCell ref="A140:N140"/>
    <mergeCell ref="A150:N150"/>
    <mergeCell ref="A156:N156"/>
    <mergeCell ref="A157:N157"/>
    <mergeCell ref="A149:N149"/>
    <mergeCell ref="A154:N154"/>
    <mergeCell ref="A155:N155"/>
    <mergeCell ref="A148:N148"/>
    <mergeCell ref="A152:N152"/>
    <mergeCell ref="A128:N128"/>
    <mergeCell ref="A129:N129"/>
    <mergeCell ref="A141:N141"/>
    <mergeCell ref="A153:N153"/>
  </mergeCells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2026-06-03T08:09:23Z</dcterms:modified>
</cp:coreProperties>
</file>