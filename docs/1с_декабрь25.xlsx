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Пользователь\Desktop\"/>
    </mc:Choice>
  </mc:AlternateContent>
  <bookViews>
    <workbookView xWindow="0" yWindow="0" windowWidth="11400" windowHeight="5895"/>
  </bookViews>
  <sheets>
    <sheet name="Лист_1" sheetId="1" r:id="rId1"/>
  </sheets>
  <calcPr calcId="162913" refMode="R1C1"/>
</workbook>
</file>

<file path=xl/calcChain.xml><?xml version="1.0" encoding="utf-8"?>
<calcChain xmlns="http://schemas.openxmlformats.org/spreadsheetml/2006/main">
  <c r="P6" i="1" l="1"/>
  <c r="T17" i="1" l="1"/>
  <c r="T18" i="1"/>
  <c r="O6" i="1" l="1"/>
  <c r="T25" i="1" l="1"/>
  <c r="T8" i="1" l="1"/>
  <c r="T20" i="1" l="1"/>
  <c r="T16" i="1" l="1"/>
  <c r="T15" i="1" l="1"/>
  <c r="T14" i="1"/>
  <c r="T12" i="1" l="1"/>
  <c r="T11" i="1"/>
  <c r="T10" i="1"/>
  <c r="T7" i="1" s="1"/>
  <c r="T24" i="1"/>
  <c r="T23" i="1"/>
  <c r="T22" i="1" l="1"/>
  <c r="T26" i="1" s="1"/>
</calcChain>
</file>

<file path=xl/sharedStrings.xml><?xml version="1.0" encoding="utf-8"?>
<sst xmlns="http://schemas.openxmlformats.org/spreadsheetml/2006/main" count="374" uniqueCount="252">
  <si>
    <t>Контрагент</t>
  </si>
  <si>
    <t>Количество</t>
  </si>
  <si>
    <t>Сумма реализации</t>
  </si>
  <si>
    <t>Группа</t>
  </si>
  <si>
    <t>Номенклатура</t>
  </si>
  <si>
    <t>Ответственный специалист</t>
  </si>
  <si>
    <t>Отгрузка</t>
  </si>
  <si>
    <t>Договор</t>
  </si>
  <si>
    <t>Итого</t>
  </si>
  <si>
    <t>Авангард СДП</t>
  </si>
  <si>
    <t>ККК-603р       ДРГ 63-050-052 /01/2811</t>
  </si>
  <si>
    <t>ККК-603р       ДРГ 63-050-052 /01/2910</t>
  </si>
  <si>
    <t>ККК-604р       ДРГ 02-010-040 /02/2811</t>
  </si>
  <si>
    <t>Концентрат кормовой балансирующий "Оптифид баланс"       ДРГ 63-050-10235 /01/1411</t>
  </si>
  <si>
    <t>Концентрат кормовой балансирующий "Оптифид баланс"       ДРГ 63-050-10235 /01/2111</t>
  </si>
  <si>
    <t>Агро-Колядичи ОАО</t>
  </si>
  <si>
    <t>Асид Баф</t>
  </si>
  <si>
    <t>Агро-Фуд РТФ ООО</t>
  </si>
  <si>
    <t>Премикс Д-П60-3 для высокопродуктивных коров       ДРГ 63-020-0075 /05/0812</t>
  </si>
  <si>
    <t>Премикс Д-ПКР-2 для молодняка КРС старше 3-х месяцев       ДРГ 02-050-037 /01/0912</t>
  </si>
  <si>
    <t>АгроПавлово СХУП</t>
  </si>
  <si>
    <t>ККК-603р       ДРГ 61-100-0597 /08/1712</t>
  </si>
  <si>
    <t>ККК-603р       ДРГ 61-150-142 /03/1712</t>
  </si>
  <si>
    <t>ККК-603р       ДРГ 63-020-177 /07/1712</t>
  </si>
  <si>
    <t>ККК-603р       ДРГ 63-070-026 /02/1712</t>
  </si>
  <si>
    <t>Александрийское ОАО</t>
  </si>
  <si>
    <t>Клостат НС SP сухой</t>
  </si>
  <si>
    <t>Бегомльское ОАО</t>
  </si>
  <si>
    <t>ККК-604р       ДРГ 02-030-0391 /06/1312</t>
  </si>
  <si>
    <t>БелИнтерГен-агро ООО</t>
  </si>
  <si>
    <t>Комбикорм-концентрат для телят в возрасте до 3 месяцев стартерный " Кальвостарт"       01100087-001 /03/2911</t>
  </si>
  <si>
    <t>Комбикорм-концентрат для телят в возрасте до 3 месяцев стартерный " Кальвостарт"       01100088-001 /04/2911</t>
  </si>
  <si>
    <t>Беловежский  ОАО</t>
  </si>
  <si>
    <t>ККК-603р       ДРГ 63-040-0132 /05/2911</t>
  </si>
  <si>
    <t>ККК-603р       ДРГ 63-300-005 /06/2911</t>
  </si>
  <si>
    <t>ККК-604р       ДРГ 02-010-7757 /02/2312</t>
  </si>
  <si>
    <t>ККК-604р       ДРГ 02-010-7757 /04/2911</t>
  </si>
  <si>
    <t>ККК-605р       ДРГ 01-025-014 /02/2412</t>
  </si>
  <si>
    <t>ККК-605р       ДРГ 01-025-014 /10/2811</t>
  </si>
  <si>
    <t>НутриКАБ</t>
  </si>
  <si>
    <t>Белпромприбор ЗАО</t>
  </si>
  <si>
    <t>ККК-603р       ДРГ 63-030-16320 /03/1312</t>
  </si>
  <si>
    <t>ККК-604р       ДРГ 02-030-03112 /04/1312</t>
  </si>
  <si>
    <t>ККК-604р       ДРГ 02-030-043 /03/0212</t>
  </si>
  <si>
    <t>ККК-604р       ДРГ 02-030-043 /05/1312</t>
  </si>
  <si>
    <t>Оптима 100</t>
  </si>
  <si>
    <t>Алкерфид Антитокс</t>
  </si>
  <si>
    <t>Березовский ККЗ ОАО</t>
  </si>
  <si>
    <t>ККК-605р       ДРГ 01-025-0152 /03/0812</t>
  </si>
  <si>
    <t>Валище ОАО</t>
  </si>
  <si>
    <t>Видомлянское ОАО</t>
  </si>
  <si>
    <t>ККК-603р       ДРГ 63-010-815 /01/1712</t>
  </si>
  <si>
    <t>Восходящая заря СПК</t>
  </si>
  <si>
    <t>Гарантагровест ООО</t>
  </si>
  <si>
    <t>ККК-603р       ДРГ 63-020-1742 /04/1012</t>
  </si>
  <si>
    <t>ККК-603р       ДРГ 63-020-1742 /08/2811</t>
  </si>
  <si>
    <t>ККК-603р       ДРГ 63-070-026 /01/1112</t>
  </si>
  <si>
    <t>ККК-604р       ДРГ 02-010-051 /01/1512</t>
  </si>
  <si>
    <t>ККК-604р       ДРГ 02-100-020 /01/2911</t>
  </si>
  <si>
    <t>ККК-604р       ДРГ 02-100-020 /02/1112</t>
  </si>
  <si>
    <t>ККК-605р       ДРГ 01-050-0232 /03/1012</t>
  </si>
  <si>
    <t>ККК-605р       ДРГ 01-050-0232 /09/2811</t>
  </si>
  <si>
    <t>Концентрат кормовой балансирующий "Оптифид баланс"       ДРГ 61-050-1061 /05/1112</t>
  </si>
  <si>
    <t>Концентрат кормовой балансирующий "Оптифид баланс"       ДРГ 63-050-10235 /01/0212</t>
  </si>
  <si>
    <t>Гольшаны КСУП</t>
  </si>
  <si>
    <t>ККК-603р       ДРГ 61-100-080 /08/1312</t>
  </si>
  <si>
    <t>ККК-603р       ДРГ 61-150-027 /07/1312</t>
  </si>
  <si>
    <t>ККК-603р       ДРГ 63-010-815 /09/1312</t>
  </si>
  <si>
    <t>ККК-603р       ДРГ 63-050-031 /03/1512</t>
  </si>
  <si>
    <t>ККК-605г       01500137-002 /13/2111</t>
  </si>
  <si>
    <t>Городилово ОАО</t>
  </si>
  <si>
    <t>ККК-603р       ДРГ 61-150-0246 /09/2511</t>
  </si>
  <si>
    <t>ККК-603р       ДРГ 63-010-8408 /10/0212</t>
  </si>
  <si>
    <t>ККК-604р       ДРГ 02-010-051 /09/0212</t>
  </si>
  <si>
    <t>ККК-605р       ДРГ 01-050-0232 /08/0212</t>
  </si>
  <si>
    <t>Грушево-МИЛК Сельскохозяйственное унитарное предприятие</t>
  </si>
  <si>
    <t>Комбикорм-концентрат для телят в возрасте до 3 месяцев стартерный " Кальвостарт"       01100086-001 /04/0311</t>
  </si>
  <si>
    <t>Комбикорм-концентрат для телят в возрасте до 3 месяцев стартерный " Кальвостарт"       01100087-001 /04/2012</t>
  </si>
  <si>
    <t>Гудевичи ЗАО</t>
  </si>
  <si>
    <t>ККК-603р       ДРГ 63-020-177 /04/2811</t>
  </si>
  <si>
    <t>ККК-603р       ДРГ 63-030-185 /03/2811</t>
  </si>
  <si>
    <t>ККК-603р       ДРГ 63-050-045 /05/1810</t>
  </si>
  <si>
    <t>ККК-603р       ДРГ 63-050-045 /07/2811</t>
  </si>
  <si>
    <t>ККК-603р       ДРГ 63-070-026 /03/1912</t>
  </si>
  <si>
    <t>ККК-603р       ДРГ 63-160-017 /01/1511</t>
  </si>
  <si>
    <t>Диталан ОДО</t>
  </si>
  <si>
    <t>Токсфин сухой</t>
  </si>
  <si>
    <t>Дрогичин Агро ФХ</t>
  </si>
  <si>
    <t>ККК-603р       ДРГ 63-010-815 /05/0312</t>
  </si>
  <si>
    <t>ККК-604р       ДРГ 02-010-040 /07/0312</t>
  </si>
  <si>
    <t>Западный СГЦ ОАО</t>
  </si>
  <si>
    <t>ККК-603р       ДРГ 63-020-1322 /01/0812</t>
  </si>
  <si>
    <t>ККК-605г       01500137-001 /01/1511</t>
  </si>
  <si>
    <t>КормВетАгро ООО</t>
  </si>
  <si>
    <t>ККК-603р       ДРГ 61-100-170 /08/0612</t>
  </si>
  <si>
    <t>ККК-603р       ДРГ 63-020-1671 /03/1112</t>
  </si>
  <si>
    <t>ККК-603р       ДРГ 63-020-1671 /10/2910</t>
  </si>
  <si>
    <t>ККК-603р       ДРГ 63-020-17003 /06/1209</t>
  </si>
  <si>
    <t>ККК-603р       ДРГ 63-020-1752 /14/1712</t>
  </si>
  <si>
    <t>ККК-603р       ДРГ 63-020-1801 /01/0111</t>
  </si>
  <si>
    <t>ККК-603р       ДРГ 63-030-15644 /07/1209</t>
  </si>
  <si>
    <t>ККК-603р       ДРГ 63-030-15646 /02/1809</t>
  </si>
  <si>
    <t>ККК-603р       ДРГ 63-030-184 /09/0612</t>
  </si>
  <si>
    <t>ККК-604р       ДРГ 02-030-0391 /13/1712</t>
  </si>
  <si>
    <t>Концентрат кормовой балансирующий "Оптифид баланс"       ДРГ 61-050-1061 /01/2312</t>
  </si>
  <si>
    <t>Концентрат кормовой балансирующий "Оптифид баланс"       ДРГ 61-100-1511 /01/0412</t>
  </si>
  <si>
    <t>Концентрат кормовой балансирующий "Оптифид баланс"       ДРГ 61-100-1511 /01/2211</t>
  </si>
  <si>
    <t>Концентрат кормовой энергетический "Аминолак"       ДРГ 61-100-071 /10/0612</t>
  </si>
  <si>
    <t>Актисаф SC 47 STD</t>
  </si>
  <si>
    <t>Кормикс ЧП</t>
  </si>
  <si>
    <t>ККК-603к       63200105-012 /01/2811</t>
  </si>
  <si>
    <t>ККК-603р       ДРГ 61-100-080 /02/0612</t>
  </si>
  <si>
    <t>ККК-603р       ДРГ 61-150-142 /06/2811</t>
  </si>
  <si>
    <t>ККК-603р       ДРГ 63-010-815 /09/1912</t>
  </si>
  <si>
    <t>ККК-603р       ДРГ 63-010-856 /06/0312</t>
  </si>
  <si>
    <t>ККК-603р       ДРГ 63-020-1607 /11/1712</t>
  </si>
  <si>
    <t>ККК-603р       ДРГ 63-020-1742 /04/0512</t>
  </si>
  <si>
    <t>ККК-603р       ДРГ 63-020-18002 /09/1712</t>
  </si>
  <si>
    <t>ККК-603р       ДРГ 63-030-183 /03/0512</t>
  </si>
  <si>
    <t>ККК-603р       ДРГ 63-030-185 /01/0612</t>
  </si>
  <si>
    <t>ККК-603р       ДРГ 63-050-051 /03/0612</t>
  </si>
  <si>
    <t>ККК-603р       ДРГ 63-050-051 /05/2811</t>
  </si>
  <si>
    <t>ККК-603р       ДРГ 63-160-017 /02/1612</t>
  </si>
  <si>
    <t>ККК-603р       ДРГ 63-300-00223 /09/2910</t>
  </si>
  <si>
    <t>ККК-603р       ДРГ 63-300-005 /05/1711</t>
  </si>
  <si>
    <t>ККК-604р       ДРГ 02-010-040 /08/1912</t>
  </si>
  <si>
    <t>ККК-604р       ДРГ 02-010-040 /10/1712</t>
  </si>
  <si>
    <t>ККК-604р       ДРГ 02-025-0432 /02/0812</t>
  </si>
  <si>
    <t>ККК-604р       ДРГ 02-030-0391 /07/1912</t>
  </si>
  <si>
    <t>ККК-605р       ДРГ 01-050-0232 /10/1912</t>
  </si>
  <si>
    <t>ККК-605р       ДРГ 01-050-0232 /12/1712</t>
  </si>
  <si>
    <t>Концентрат кормовой балансирующий "Оптифид баланс"       ДРГ 61-100-1332 /02/0312</t>
  </si>
  <si>
    <t>Концентрат кормовой балансирующий "Оптифид баланс"       ДРГ 61-100-1333 /01/2412</t>
  </si>
  <si>
    <t>Концентрат кормовой балансирующий "Оптифид баланс"       ДРГ 61-100-1511 /01/0611</t>
  </si>
  <si>
    <t>Концентрат кормовой балансирующий "Оптифид баланс"       ДРГ 61-100-1511 /01/1311</t>
  </si>
  <si>
    <t>Концентрат кормовой энергетический "Аминолак"       ДРГ 61-100-071 /01/1312</t>
  </si>
  <si>
    <t>Концентрат кормовой энергетический "Аминолак"       ДРГ 61-100-071 /05/0212</t>
  </si>
  <si>
    <t>Краснодворцы ОАО</t>
  </si>
  <si>
    <t>ККК-603р       ДРГ 63-010-8183 /01/0312</t>
  </si>
  <si>
    <t>ККК-603р       ДРГ 63-010-8183 /02/1711</t>
  </si>
  <si>
    <t>Красный пищевик-АгроСервис ОАО  Пищевик-Агро Филиал</t>
  </si>
  <si>
    <t>ККК-603р       ДРГ 63-020-1752 /15/2511</t>
  </si>
  <si>
    <t>ККК-603р       ДРГ 63-030-184 /01/2611</t>
  </si>
  <si>
    <t>ККК-603р       ДРГ 63-300-005 /02/2611</t>
  </si>
  <si>
    <t>ККК-604р       ДРГ 02-010-051 /12/2511</t>
  </si>
  <si>
    <t>Лань-Несвиж ОАО</t>
  </si>
  <si>
    <t>ЛогуТин КФХ</t>
  </si>
  <si>
    <t>Маяк Высокое ОАО</t>
  </si>
  <si>
    <t>Несвижские Островки ОАО</t>
  </si>
  <si>
    <t>ККК-603р       ДРГ 63-010-8338 /14/2511</t>
  </si>
  <si>
    <t>Новая жизнь ОАО</t>
  </si>
  <si>
    <t>ККК-603р       ДРГ 63-010-8621 /07/0212</t>
  </si>
  <si>
    <t>НОУ-ТИЛЛ Органик ООО</t>
  </si>
  <si>
    <t>Озеры СПК Гродненская обл.</t>
  </si>
  <si>
    <t>ККК-603р       ДРГ 63-050-053 /02/0512</t>
  </si>
  <si>
    <t>ККК-603р       ДРГ 63-050-053 /02/1312</t>
  </si>
  <si>
    <t>Ополь-Агро ОАО</t>
  </si>
  <si>
    <t>Осовецкий СПК</t>
  </si>
  <si>
    <t>ККК-603р       ДРГ 63-010-8602 /06/0612</t>
  </si>
  <si>
    <t>ККК-603р       ДРГ 63-010-861 /04/1912</t>
  </si>
  <si>
    <t>ККК-603р       ДРГ 63-010-861 /10/2511</t>
  </si>
  <si>
    <t>ККК-603р       ДРГ 63-050-052 /05/1912</t>
  </si>
  <si>
    <t>ККК-603р       ДРГ 63-050-052 /11/2511</t>
  </si>
  <si>
    <t>ККК-604р       ДРГ 02-010-051 /06/1912</t>
  </si>
  <si>
    <t>ОСП Совхоз Минский ДОРОРС</t>
  </si>
  <si>
    <t>Комбикорм-концентрат для телят в возрасте до 3 месяцев стартерный "Кальвостарт" 01100088-001 /04/2911</t>
  </si>
  <si>
    <t>Охово ОАО</t>
  </si>
  <si>
    <t>ПК им. Кремко</t>
  </si>
  <si>
    <t>ККК-603р       ДРГ 61-100-0597 /01/1012</t>
  </si>
  <si>
    <t>ККК-603р       ДРГ 63-020-13715 /05/2912</t>
  </si>
  <si>
    <t>ККК-603р       ДРГ 63-050-046 /06/2912</t>
  </si>
  <si>
    <t>ККК-603р       ДРГ 63-070-030 /08/2912</t>
  </si>
  <si>
    <t>ККК-604р       ДРГ 02-010-7748 /02/1012</t>
  </si>
  <si>
    <t>ККК-604р       ДРГ 02-010-7748 /04/2912</t>
  </si>
  <si>
    <t>Полесская нива ОАО</t>
  </si>
  <si>
    <t>Полесье-Агроинвест СУП</t>
  </si>
  <si>
    <t>ККК-605р       ДРГ 01-050-0232 /08/0312</t>
  </si>
  <si>
    <t>Припять-2009 Государственное предприятие</t>
  </si>
  <si>
    <t>Радонежское ОАО</t>
  </si>
  <si>
    <t>ККК-603р       ДРГ 63-010-863 /04/0612</t>
  </si>
  <si>
    <t>ККК-604р       ДРГ 02-030-0391 /05/0612</t>
  </si>
  <si>
    <t>Райагросервис Пружанский ОАО</t>
  </si>
  <si>
    <t>Рогознянский ОАО Жабинковский</t>
  </si>
  <si>
    <t>ККК-604р       ДРГ 02-010-051 /04/0212</t>
  </si>
  <si>
    <t>Савушкин - Луч СУП</t>
  </si>
  <si>
    <t>ККК-603р       ДРГ 63-040-0122 /03/2012</t>
  </si>
  <si>
    <t>ККК-603р       ДРГ 63-050-042 /07/0612</t>
  </si>
  <si>
    <t>ККК-603р       ДРГ 63-050-0421 /02/2012</t>
  </si>
  <si>
    <t>Сафволл</t>
  </si>
  <si>
    <t>Свитязянка-2003 СПК</t>
  </si>
  <si>
    <t>ККК-603р       ДРГ 63-030-185 /06/2511</t>
  </si>
  <si>
    <t>ККК-603р       ДРГ 63-050-045 /07/2511</t>
  </si>
  <si>
    <t>ККК-603р       ДРГ 63-070-026 /08/2511</t>
  </si>
  <si>
    <t>Сеньковщина ОАО</t>
  </si>
  <si>
    <t>Снов Агрокомбинат СПК</t>
  </si>
  <si>
    <t>ККК-603р       ДРГ 63-015-0039 /02/0912</t>
  </si>
  <si>
    <t>Совхоз Доброволец  УКСХП</t>
  </si>
  <si>
    <t>ККК-603р       ДРГ 61-150-026 /04/1712</t>
  </si>
  <si>
    <t>ККК-603р       ДРГ 63-030-184 /06/1712</t>
  </si>
  <si>
    <t>ККК-604р       ДРГ 02-030-0391 /04/1112</t>
  </si>
  <si>
    <t>ККК-604р       ДРГ 02-030-0391 /05/1712</t>
  </si>
  <si>
    <t>Концентрат кормовой балансирующий "Оптифид баланс"       ДРГ 61-050-1061 /01/1212</t>
  </si>
  <si>
    <t>Совхоз-комбинат Заря ГП</t>
  </si>
  <si>
    <t>ККК-603р       ДРГ 63-025-0155 /06/1512</t>
  </si>
  <si>
    <t>ККК-603р       ДРГ 63-050-043 /07/1512</t>
  </si>
  <si>
    <t>Сынковичи СПК</t>
  </si>
  <si>
    <t>Тышковичи-Агро ОАО</t>
  </si>
  <si>
    <t>ККК-604р       ДРГ 02-030-0391 /04/2212</t>
  </si>
  <si>
    <t>Федорский СПК</t>
  </si>
  <si>
    <t>Шени-агропродукт ОАО</t>
  </si>
  <si>
    <t>Концентрат кормовой энергетический "Аминолак"       ДРГ 61-100-071 /01/0512</t>
  </si>
  <si>
    <t>ЭффектИнвест ОАО</t>
  </si>
  <si>
    <t>ККК-603р       ДРГ 63-010-7942 /03/2911</t>
  </si>
  <si>
    <t>ККК-603р       ДРГ 63-070-032 /02/2911</t>
  </si>
  <si>
    <t>Дрогичин</t>
  </si>
  <si>
    <t>ККК</t>
  </si>
  <si>
    <t>Премиксы</t>
  </si>
  <si>
    <t>Оптифид 10%</t>
  </si>
  <si>
    <t>Оптифид 5%</t>
  </si>
  <si>
    <t>Аминолак</t>
  </si>
  <si>
    <t xml:space="preserve">Здоровая печень </t>
  </si>
  <si>
    <t>Консулагро</t>
  </si>
  <si>
    <t>603к</t>
  </si>
  <si>
    <t>605г</t>
  </si>
  <si>
    <t>Кальвостарт</t>
  </si>
  <si>
    <t xml:space="preserve">                         Концентрат кормовой профилактический "Здоровая печень" 63-025-027</t>
  </si>
  <si>
    <t>Савушкина пуща ОАО</t>
  </si>
  <si>
    <t xml:space="preserve">Именинский </t>
  </si>
  <si>
    <t>Доманово СПУ УП "Брестоблгаз"</t>
  </si>
  <si>
    <t>СПК им. Деньщикова</t>
  </si>
  <si>
    <t>АФТАБ</t>
  </si>
  <si>
    <t>Доброселецкий с/х филиал КУП "Гроднооблдорстрой"</t>
  </si>
  <si>
    <t xml:space="preserve">Агро-Детковичи </t>
  </si>
  <si>
    <t>ОАО "Барановичхлебопродукт"</t>
  </si>
  <si>
    <t>Щучинагропродукт</t>
  </si>
  <si>
    <t>АГРОВЕТГАРАНТ</t>
  </si>
  <si>
    <t>Чернавчицы</t>
  </si>
  <si>
    <t>Лядецкий</t>
  </si>
  <si>
    <t>Остромечево</t>
  </si>
  <si>
    <t>Василишки</t>
  </si>
  <si>
    <t>Орепичи</t>
  </si>
  <si>
    <t>Именинский</t>
  </si>
  <si>
    <t>Старица-Агро</t>
  </si>
  <si>
    <t>Филиал СельхозАгроСервис Барановичский райагросервис ОАО</t>
  </si>
  <si>
    <t xml:space="preserve">Филиал СельхозАгроСервис Барановичский райагросервис </t>
  </si>
  <si>
    <t>Филиал СельхозАгроСервис Барановичский райагросервис</t>
  </si>
  <si>
    <t>Филиал Будча ОАО “Барановичхлебопродукт"</t>
  </si>
  <si>
    <t>Агро-сад Рассвет</t>
  </si>
  <si>
    <t xml:space="preserve">Агро-сад Рассвет </t>
  </si>
  <si>
    <t>Агро-Пелище</t>
  </si>
  <si>
    <t xml:space="preserve">Ружаны Агро </t>
  </si>
  <si>
    <t>Агронеманский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</si>
</sst>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8"/>
      <name val="Arial"/>
    </font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0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</font>
    <font>
      <sz val="8"/>
      <color rgb="FFFF0000"/>
      <name val="Arial"/>
      <family val="2"/>
      <charset val="204"/>
    </font>
    <font>
      <sz val="8"/>
      <color rgb="FFFF0000"/>
      <name val="Arial"/>
    </font>
    <font>
      <sz val="8"/>
      <color theme="1"/>
      <name val="Arial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/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3" fontId="4" fillId="0" borderId="0" xfId="0" applyNumberFormat="1" applyFont="1" applyAlignment="1">
      <alignment horizontal="right" vertical="top"/>
    </xf>
    <xf numFmtId="4" fontId="4" fillId="0" borderId="0" xfId="0" applyNumberFormat="1" applyFont="1" applyAlignment="1">
      <alignment horizontal="right" vertical="top"/>
    </xf>
    <xf numFmtId="1" fontId="4" fillId="0" borderId="0" xfId="0" applyNumberFormat="1" applyFont="1" applyAlignment="1">
      <alignment horizontal="right" vertical="top"/>
    </xf>
    <xf numFmtId="2" fontId="4" fillId="0" borderId="0" xfId="0" applyNumberFormat="1" applyFont="1" applyAlignment="1">
      <alignment horizontal="right" vertical="top"/>
    </xf>
    <xf numFmtId="3" fontId="3" fillId="2" borderId="1" xfId="0" applyNumberFormat="1" applyFont="1" applyFill="1" applyBorder="1" applyAlignment="1">
      <alignment horizontal="right" vertical="top"/>
    </xf>
    <xf numFmtId="4" fontId="3" fillId="2" borderId="1" xfId="0" applyNumberFormat="1" applyFont="1" applyFill="1" applyBorder="1" applyAlignment="1">
      <alignment horizontal="right" vertical="top"/>
    </xf>
    <xf numFmtId="1" fontId="3" fillId="2" borderId="1" xfId="0" applyNumberFormat="1" applyFont="1" applyFill="1" applyBorder="1" applyAlignment="1">
      <alignment horizontal="right" vertical="top"/>
    </xf>
    <xf numFmtId="2" fontId="3" fillId="2" borderId="1" xfId="0" applyNumberFormat="1" applyFont="1" applyFill="1" applyBorder="1" applyAlignment="1">
      <alignment horizontal="right" vertical="top"/>
    </xf>
    <xf numFmtId="0" fontId="6" fillId="0" borderId="0" xfId="0" applyFont="1"/>
    <xf numFmtId="0" fontId="7" fillId="0" borderId="0" xfId="0" applyFont="1"/>
    <xf numFmtId="0" fontId="8" fillId="0" borderId="0" xfId="0" applyFont="1"/>
    <xf numFmtId="3" fontId="4" fillId="0" borderId="0" xfId="0" applyNumberFormat="1" applyFont="1" applyFill="1" applyAlignment="1">
      <alignment horizontal="right" vertical="top"/>
    </xf>
    <xf numFmtId="4" fontId="4" fillId="0" borderId="0" xfId="0" applyNumberFormat="1" applyFont="1" applyFill="1" applyAlignment="1">
      <alignment horizontal="right" vertical="top"/>
    </xf>
    <xf numFmtId="0" fontId="2" fillId="0" borderId="0" xfId="0" applyFont="1" applyFill="1"/>
    <xf numFmtId="1" fontId="4" fillId="0" borderId="0" xfId="0" applyNumberFormat="1" applyFont="1" applyFill="1" applyAlignment="1">
      <alignment horizontal="right" vertical="top"/>
    </xf>
    <xf numFmtId="3" fontId="2" fillId="0" borderId="0" xfId="0" applyNumberFormat="1" applyFont="1"/>
    <xf numFmtId="3" fontId="6" fillId="0" borderId="0" xfId="0" applyNumberFormat="1" applyFont="1"/>
    <xf numFmtId="0" fontId="10" fillId="0" borderId="0" xfId="0" applyFont="1"/>
    <xf numFmtId="3" fontId="0" fillId="0" borderId="0" xfId="0" applyNumberFormat="1"/>
    <xf numFmtId="3" fontId="3" fillId="3" borderId="1" xfId="0" applyNumberFormat="1" applyFont="1" applyFill="1" applyBorder="1" applyAlignment="1">
      <alignment horizontal="right" vertical="top"/>
    </xf>
    <xf numFmtId="4" fontId="4" fillId="0" borderId="0" xfId="0" applyNumberFormat="1" applyFont="1" applyAlignment="1">
      <alignment horizontal="left" vertical="top"/>
    </xf>
    <xf numFmtId="3" fontId="2" fillId="0" borderId="0" xfId="0" applyNumberFormat="1" applyFont="1" applyFill="1"/>
    <xf numFmtId="1" fontId="2" fillId="0" borderId="0" xfId="0" applyNumberFormat="1" applyFont="1" applyFill="1"/>
    <xf numFmtId="4" fontId="4" fillId="0" borderId="0" xfId="0" applyNumberFormat="1" applyFont="1" applyFill="1" applyAlignment="1">
      <alignment horizontal="left" vertical="top"/>
    </xf>
    <xf numFmtId="4" fontId="9" fillId="0" borderId="0" xfId="0" applyNumberFormat="1" applyFont="1" applyAlignment="1">
      <alignment horizontal="left" vertical="top"/>
    </xf>
    <xf numFmtId="0" fontId="11" fillId="0" borderId="0" xfId="0" applyFont="1"/>
    <xf numFmtId="4" fontId="3" fillId="3" borderId="1" xfId="0" applyNumberFormat="1" applyFont="1" applyFill="1" applyBorder="1" applyAlignment="1">
      <alignment horizontal="right" vertical="top"/>
    </xf>
    <xf numFmtId="0" fontId="12" fillId="0" borderId="0" xfId="0" applyFont="1" applyAlignment="1">
      <alignment horizontal="left"/>
    </xf>
    <xf numFmtId="0" fontId="13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 indent="12"/>
    </xf>
    <xf numFmtId="0" fontId="3" fillId="2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 indent="10"/>
    </xf>
    <xf numFmtId="0" fontId="13" fillId="0" borderId="1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 indent="8"/>
    </xf>
    <xf numFmtId="0" fontId="13" fillId="0" borderId="1" xfId="0" applyFont="1" applyBorder="1" applyAlignment="1">
      <alignment horizontal="justify" vertical="top" wrapText="1"/>
    </xf>
    <xf numFmtId="0" fontId="5" fillId="3" borderId="1" xfId="0" applyFont="1" applyFill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Fill="1" applyAlignment="1">
      <alignment horizontal="left" vertical="top" wrapText="1" indent="10"/>
    </xf>
    <xf numFmtId="0" fontId="4" fillId="0" borderId="0" xfId="0" applyFont="1" applyAlignment="1">
      <alignment horizontal="left" vertical="top" wrapText="1"/>
    </xf>
    <xf numFmtId="0" fontId="4" fillId="0" borderId="0" xfId="0" applyFont="1" applyFill="1" applyAlignment="1">
      <alignment horizontal="left" vertical="top" wrapText="1" indent="8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T317"/>
  <sheetViews>
    <sheetView tabSelected="1" zoomScale="120" zoomScaleNormal="120" workbookViewId="0">
      <selection activeCell="Q5" sqref="Q5"/>
    </sheetView>
  </sheetViews>
  <sheetFormatPr defaultColWidth="10.5" defaultRowHeight="11.45" customHeight="1" outlineLevelRow="6" x14ac:dyDescent="0.2"/>
  <cols>
    <col min="1" max="1" width="5.6640625" style="30" customWidth="1"/>
    <col min="2" max="2" width="3.33203125" style="30" customWidth="1"/>
    <col min="3" max="3" width="1.5" style="30" customWidth="1"/>
    <col min="4" max="4" width="13.83203125" style="30" customWidth="1"/>
    <col min="5" max="5" width="16.5" style="30" customWidth="1"/>
    <col min="6" max="6" width="2.1640625" style="30" customWidth="1"/>
    <col min="7" max="7" width="18.6640625" style="30" customWidth="1"/>
    <col min="8" max="8" width="8.33203125" style="30" customWidth="1"/>
    <col min="9" max="9" width="9" style="30" customWidth="1"/>
    <col min="10" max="10" width="1.33203125" style="30" customWidth="1"/>
    <col min="11" max="11" width="37.5" style="30" customWidth="1"/>
    <col min="12" max="12" width="14.33203125" style="30" customWidth="1"/>
    <col min="13" max="13" width="2" style="30" customWidth="1"/>
    <col min="14" max="14" width="2.83203125" style="30" customWidth="1"/>
    <col min="15" max="15" width="14.1640625" style="30" customWidth="1"/>
    <col min="16" max="16" width="15.1640625" style="30" customWidth="1"/>
    <col min="17" max="17" width="15.6640625" bestFit="1" customWidth="1"/>
    <col min="19" max="19" width="24.6640625" customWidth="1"/>
  </cols>
  <sheetData>
    <row r="1" spans="1:20" s="1" customFormat="1" ht="9.9499999999999993" customHeight="1" x14ac:dyDescent="0.2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20" ht="12.95" customHeight="1" x14ac:dyDescent="0.2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6" t="s">
        <v>1</v>
      </c>
      <c r="P2" s="36" t="s">
        <v>2</v>
      </c>
    </row>
    <row r="3" spans="1:20" ht="12.95" customHeight="1" x14ac:dyDescent="0.2">
      <c r="A3" s="35" t="s">
        <v>3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7"/>
      <c r="P3" s="37"/>
    </row>
    <row r="4" spans="1:20" ht="12.95" customHeight="1" x14ac:dyDescent="0.2">
      <c r="A4" s="35" t="s">
        <v>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7"/>
      <c r="P4" s="37"/>
    </row>
    <row r="5" spans="1:20" ht="12.75" x14ac:dyDescent="0.2">
      <c r="A5" s="35" t="s">
        <v>5</v>
      </c>
      <c r="B5" s="35"/>
      <c r="C5" s="35"/>
      <c r="D5" s="35"/>
      <c r="E5" s="35"/>
      <c r="F5" s="40" t="s">
        <v>6</v>
      </c>
      <c r="G5" s="40"/>
      <c r="H5" s="40"/>
      <c r="I5" s="35" t="s">
        <v>7</v>
      </c>
      <c r="J5" s="35"/>
      <c r="K5" s="35"/>
      <c r="L5" s="31"/>
      <c r="M5" s="31"/>
      <c r="N5" s="31"/>
      <c r="O5" s="38"/>
      <c r="P5" s="38"/>
    </row>
    <row r="6" spans="1:20" s="2" customFormat="1" ht="15" customHeight="1" x14ac:dyDescent="0.2">
      <c r="A6" s="41" t="s">
        <v>8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22">
        <f>SUM(O7,O13,O15,O19,O24,O26,O28,O31,O40,O48,O50,O52,O54,O56,O68,O76,O81,O84,O92,O94,O97,O99,O122,O127,O183,O188,O196,O198,O200,O203,O206,O212,O214,O218,O220,O228,O230,O232,O242,O244,O249,O251,O257,O259,O263,O270,O272,O277,O279,O283,O295,O298,O300,O303,O306,O309)</f>
        <v>768290</v>
      </c>
      <c r="P6" s="29">
        <f>SUM(P7,P13,P15,P19,P24,P26,P28,P31,P40,P48,P50,P52,P54,P56,P68,P76,P81,P84,P92,P94,P97,P99,P122,P127,P183,P188,P196,P198,P200,P203,P206,P212,P214,P218,P220,P228,P230,P232,P242,P244,P249,P251,P257,P259,P263,P270,P272,P277,P279,P283,P295,P298,P300,P303,P306,P309)</f>
        <v>3760256.03</v>
      </c>
    </row>
    <row r="7" spans="1:20" s="2" customFormat="1" ht="15" customHeight="1" x14ac:dyDescent="0.2">
      <c r="A7" s="33" t="s">
        <v>9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7">
        <v>20100</v>
      </c>
      <c r="P7" s="8">
        <v>46450</v>
      </c>
      <c r="S7" s="11" t="s">
        <v>214</v>
      </c>
      <c r="T7" s="19">
        <f>SUM(T8:T13)</f>
        <v>571450</v>
      </c>
    </row>
    <row r="8" spans="1:20" s="2" customFormat="1" ht="15" customHeight="1" outlineLevel="5" x14ac:dyDescent="0.2">
      <c r="A8" s="34" t="s">
        <v>10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">
        <v>3000</v>
      </c>
      <c r="P8" s="4">
        <v>10500</v>
      </c>
      <c r="S8" s="2" t="s">
        <v>215</v>
      </c>
      <c r="T8" s="18">
        <f>SUM(O8,O9,O10,O19,O27,O32,O33,O34,O35,O36,O37,O41,O42,O43,O44,O49,O53,O57,O58,O59,O60,O61,O62,O63,O64,O69,O71,O70,O72,O73,O76,O85,O86,O87,O88,O89,O90,O94,O97,O100,O101,O102,O103,O104,O105,O106,O107,O108,O109,O110,O111,O128,O129,O130,O131,O132,O133,O134,O135,O136,O137,O138,O139,O140,O141,O145,O146,O147,O151,O152,O153,O154,O155,O156,O184,O185,O189,O190,O191,O192,O193,O201,O203,O207,O208,O215,O216,O220,O233,O234,O235,O236,O237,O238,O245,O246,O252,O253,O260,O264,O265,O266,O267,O273,O274,O275,O278,O280,O284,O285,O286,O287,O295,O302,O307,O310,O311)</f>
        <v>355825</v>
      </c>
    </row>
    <row r="9" spans="1:20" s="2" customFormat="1" ht="15" customHeight="1" outlineLevel="5" x14ac:dyDescent="0.2">
      <c r="A9" s="34" t="s">
        <v>11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5">
        <v>100</v>
      </c>
      <c r="P9" s="6">
        <v>350</v>
      </c>
      <c r="S9" s="2" t="s">
        <v>216</v>
      </c>
      <c r="T9" s="18">
        <v>20000</v>
      </c>
    </row>
    <row r="10" spans="1:20" s="2" customFormat="1" ht="15" customHeight="1" outlineLevel="5" x14ac:dyDescent="0.2">
      <c r="A10" s="34" t="s">
        <v>12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">
        <v>2000</v>
      </c>
      <c r="P10" s="4">
        <v>3500</v>
      </c>
      <c r="S10" s="2" t="s">
        <v>217</v>
      </c>
      <c r="T10" s="18">
        <f>SUM(O114,O115,O157,O158,O159,O160,O161,O162,O195,O202,O254,O312,O313)</f>
        <v>102500</v>
      </c>
    </row>
    <row r="11" spans="1:20" s="2" customFormat="1" ht="15" customHeight="1" outlineLevel="5" x14ac:dyDescent="0.2">
      <c r="A11" s="34" t="s">
        <v>13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">
        <v>8250</v>
      </c>
      <c r="P11" s="4">
        <v>17655</v>
      </c>
      <c r="S11" s="2" t="s">
        <v>218</v>
      </c>
      <c r="T11" s="18">
        <f>SUM(O11,O12,O65,O66,O67,O112,O113,O116,O165,O289,O290,O291,O292,O293)</f>
        <v>82725</v>
      </c>
    </row>
    <row r="12" spans="1:20" s="2" customFormat="1" ht="15" customHeight="1" outlineLevel="5" x14ac:dyDescent="0.2">
      <c r="A12" s="34" t="s">
        <v>14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">
        <v>6750</v>
      </c>
      <c r="P12" s="4">
        <v>14445</v>
      </c>
      <c r="S12" s="2" t="s">
        <v>219</v>
      </c>
      <c r="T12" s="18">
        <f>SUM(O117,O167,O168,O308,O314,O315)</f>
        <v>7400</v>
      </c>
    </row>
    <row r="13" spans="1:20" s="2" customFormat="1" ht="15" customHeight="1" x14ac:dyDescent="0.2">
      <c r="A13" s="33" t="s">
        <v>15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9">
        <v>400</v>
      </c>
      <c r="P13" s="8">
        <v>1604</v>
      </c>
      <c r="S13" s="2" t="s">
        <v>220</v>
      </c>
      <c r="T13" s="18">
        <v>3000</v>
      </c>
    </row>
    <row r="14" spans="1:20" s="2" customFormat="1" ht="15" customHeight="1" outlineLevel="5" x14ac:dyDescent="0.2">
      <c r="A14" s="34" t="s">
        <v>16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5">
        <v>400</v>
      </c>
      <c r="P14" s="4">
        <v>1604</v>
      </c>
      <c r="S14" s="2" t="s">
        <v>45</v>
      </c>
      <c r="T14" s="18">
        <f>SUM(O45,O55,O118,O169,O217,O239,O255,O276)</f>
        <v>51625</v>
      </c>
    </row>
    <row r="15" spans="1:20" s="2" customFormat="1" ht="15" customHeight="1" x14ac:dyDescent="0.2">
      <c r="A15" s="33" t="s">
        <v>17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7">
        <v>40000</v>
      </c>
      <c r="P15" s="8">
        <v>151308.13</v>
      </c>
      <c r="S15" s="2" t="s">
        <v>16</v>
      </c>
      <c r="T15" s="18">
        <f>SUM(O14,O16,O38,O75,O174,O231,O262,O281)</f>
        <v>54000</v>
      </c>
    </row>
    <row r="16" spans="1:20" s="2" customFormat="1" ht="15" customHeight="1" outlineLevel="5" x14ac:dyDescent="0.2">
      <c r="A16" s="34" t="s">
        <v>16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">
        <v>20000</v>
      </c>
      <c r="P16" s="4">
        <v>85157.43</v>
      </c>
      <c r="S16" s="2" t="s">
        <v>39</v>
      </c>
      <c r="T16" s="21">
        <f>SUM(O39,O121,O177,O241,O248,O256,O282,O317)</f>
        <v>14350</v>
      </c>
    </row>
    <row r="17" spans="1:20" s="2" customFormat="1" ht="15" customHeight="1" outlineLevel="5" x14ac:dyDescent="0.2">
      <c r="A17" s="34" t="s">
        <v>18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">
        <v>18000</v>
      </c>
      <c r="P17" s="4">
        <v>61220.639999999999</v>
      </c>
      <c r="S17" s="2" t="s">
        <v>26</v>
      </c>
      <c r="T17" s="25">
        <f>SUM(O25,O47,O51,O91,O197,O199,O211,O247,O258,O261,O271,O299)</f>
        <v>615</v>
      </c>
    </row>
    <row r="18" spans="1:20" s="2" customFormat="1" ht="15" customHeight="1" outlineLevel="5" x14ac:dyDescent="0.2">
      <c r="A18" s="34" t="s">
        <v>19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">
        <v>2000</v>
      </c>
      <c r="P18" s="4">
        <v>4930.0600000000004</v>
      </c>
      <c r="S18" s="2" t="s">
        <v>86</v>
      </c>
      <c r="T18" s="24">
        <f>SUM(O93)</f>
        <v>200</v>
      </c>
    </row>
    <row r="19" spans="1:20" s="2" customFormat="1" ht="15" customHeight="1" x14ac:dyDescent="0.2">
      <c r="A19" s="33" t="s">
        <v>20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7">
        <v>4250</v>
      </c>
      <c r="P19" s="8">
        <v>28872.5</v>
      </c>
      <c r="S19" s="2" t="s">
        <v>108</v>
      </c>
      <c r="T19" s="2">
        <v>700</v>
      </c>
    </row>
    <row r="20" spans="1:20" s="2" customFormat="1" ht="15" customHeight="1" outlineLevel="5" x14ac:dyDescent="0.2">
      <c r="A20" s="34" t="s">
        <v>21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5">
        <v>500</v>
      </c>
      <c r="P20" s="4">
        <v>8750</v>
      </c>
      <c r="S20" s="2" t="s">
        <v>46</v>
      </c>
      <c r="T20" s="18">
        <f>SUM(O46,O119,O210,O219,O240,O243,O250,O268,O294,O316)</f>
        <v>7050</v>
      </c>
    </row>
    <row r="21" spans="1:20" s="2" customFormat="1" ht="15" customHeight="1" outlineLevel="5" x14ac:dyDescent="0.2">
      <c r="A21" s="34" t="s">
        <v>22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">
        <v>2500</v>
      </c>
      <c r="P21" s="4">
        <v>15450</v>
      </c>
      <c r="S21" s="2" t="s">
        <v>188</v>
      </c>
      <c r="T21" s="2">
        <v>400</v>
      </c>
    </row>
    <row r="22" spans="1:20" s="2" customFormat="1" ht="15" customHeight="1" outlineLevel="5" x14ac:dyDescent="0.2">
      <c r="A22" s="34" t="s">
        <v>23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5">
        <v>750</v>
      </c>
      <c r="P22" s="4">
        <v>2962.5</v>
      </c>
      <c r="S22" s="11" t="s">
        <v>221</v>
      </c>
      <c r="T22" s="19">
        <f>SUM(T23:T25)</f>
        <v>67900</v>
      </c>
    </row>
    <row r="23" spans="1:20" s="2" customFormat="1" ht="15" customHeight="1" outlineLevel="5" x14ac:dyDescent="0.2">
      <c r="A23" s="34" t="s">
        <v>24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5">
        <v>500</v>
      </c>
      <c r="P23" s="4">
        <v>1710</v>
      </c>
      <c r="S23" s="2" t="s">
        <v>222</v>
      </c>
      <c r="T23" s="18">
        <f>SUM(O124)</f>
        <v>5000</v>
      </c>
    </row>
    <row r="24" spans="1:20" s="2" customFormat="1" ht="15" customHeight="1" x14ac:dyDescent="0.2">
      <c r="A24" s="33" t="s">
        <v>25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9">
        <v>37</v>
      </c>
      <c r="P24" s="8">
        <v>6747.42</v>
      </c>
      <c r="S24" s="2" t="s">
        <v>223</v>
      </c>
      <c r="T24" s="18">
        <f>SUM(O74,O125,O126,O186,O194,O288,O187)</f>
        <v>35400</v>
      </c>
    </row>
    <row r="25" spans="1:20" s="2" customFormat="1" ht="15" customHeight="1" outlineLevel="4" x14ac:dyDescent="0.2">
      <c r="A25" s="39" t="s">
        <v>26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5">
        <v>37</v>
      </c>
      <c r="P25" s="4">
        <v>6747.42</v>
      </c>
      <c r="S25" s="2" t="s">
        <v>224</v>
      </c>
      <c r="T25" s="18">
        <f>SUM(O29,O30,O82,O83,O123,O213,O229,O301,O304,O305)</f>
        <v>27500</v>
      </c>
    </row>
    <row r="26" spans="1:20" s="2" customFormat="1" ht="15" customHeight="1" x14ac:dyDescent="0.2">
      <c r="A26" s="33" t="s">
        <v>27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9">
        <v>500</v>
      </c>
      <c r="P26" s="8">
        <v>1460</v>
      </c>
      <c r="S26" s="11" t="s">
        <v>8</v>
      </c>
      <c r="T26" s="19">
        <f>SUM(T7,T14,T15,T16,T17,T18,T20,T21,T22,T19)</f>
        <v>768290</v>
      </c>
    </row>
    <row r="27" spans="1:20" s="2" customFormat="1" ht="15" customHeight="1" outlineLevel="5" x14ac:dyDescent="0.2">
      <c r="A27" s="34" t="s">
        <v>28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5">
        <v>500</v>
      </c>
      <c r="P27" s="4">
        <v>1460</v>
      </c>
    </row>
    <row r="28" spans="1:20" s="2" customFormat="1" ht="15" customHeight="1" x14ac:dyDescent="0.2">
      <c r="A28" s="33" t="s">
        <v>29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7">
        <v>3000</v>
      </c>
      <c r="P28" s="8">
        <v>4860</v>
      </c>
    </row>
    <row r="29" spans="1:20" s="2" customFormat="1" ht="29.25" customHeight="1" outlineLevel="6" x14ac:dyDescent="0.2">
      <c r="A29" s="32" t="s">
        <v>30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">
        <v>2000</v>
      </c>
      <c r="P29" s="4">
        <v>3200</v>
      </c>
    </row>
    <row r="30" spans="1:20" s="2" customFormat="1" ht="33" customHeight="1" outlineLevel="6" x14ac:dyDescent="0.2">
      <c r="A30" s="32" t="s">
        <v>31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">
        <v>1000</v>
      </c>
      <c r="P30" s="4">
        <v>1660</v>
      </c>
    </row>
    <row r="31" spans="1:20" s="2" customFormat="1" ht="15" customHeight="1" x14ac:dyDescent="0.2">
      <c r="A31" s="33" t="s">
        <v>32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7">
        <v>48600</v>
      </c>
      <c r="P31" s="8">
        <v>296295</v>
      </c>
    </row>
    <row r="32" spans="1:20" s="2" customFormat="1" ht="15" customHeight="1" outlineLevel="5" x14ac:dyDescent="0.2">
      <c r="A32" s="34" t="s">
        <v>33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">
        <v>10000</v>
      </c>
      <c r="P32" s="4">
        <v>87000</v>
      </c>
    </row>
    <row r="33" spans="1:16" s="2" customFormat="1" ht="15" customHeight="1" outlineLevel="5" x14ac:dyDescent="0.2">
      <c r="A33" s="34" t="s">
        <v>34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">
        <v>6500</v>
      </c>
      <c r="P33" s="4">
        <v>44330</v>
      </c>
    </row>
    <row r="34" spans="1:16" s="2" customFormat="1" ht="15" customHeight="1" outlineLevel="5" x14ac:dyDescent="0.2">
      <c r="A34" s="34" t="s">
        <v>35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">
        <v>3500</v>
      </c>
      <c r="P34" s="4">
        <v>16450</v>
      </c>
    </row>
    <row r="35" spans="1:16" s="2" customFormat="1" ht="15" customHeight="1" outlineLevel="5" x14ac:dyDescent="0.2">
      <c r="A35" s="34" t="s">
        <v>36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">
        <v>13600</v>
      </c>
      <c r="P35" s="4">
        <v>63920</v>
      </c>
    </row>
    <row r="36" spans="1:16" s="2" customFormat="1" ht="15" customHeight="1" outlineLevel="5" x14ac:dyDescent="0.2">
      <c r="A36" s="34" t="s">
        <v>37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">
        <v>1000</v>
      </c>
      <c r="P36" s="4">
        <v>4700</v>
      </c>
    </row>
    <row r="37" spans="1:16" s="2" customFormat="1" ht="15" customHeight="1" outlineLevel="5" x14ac:dyDescent="0.2">
      <c r="A37" s="34" t="s">
        <v>38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">
        <v>4500</v>
      </c>
      <c r="P37" s="4">
        <v>21150</v>
      </c>
    </row>
    <row r="38" spans="1:16" s="2" customFormat="1" ht="15" customHeight="1" outlineLevel="5" x14ac:dyDescent="0.2">
      <c r="A38" s="34" t="s">
        <v>16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">
        <v>7000</v>
      </c>
      <c r="P38" s="4">
        <v>27120</v>
      </c>
    </row>
    <row r="39" spans="1:16" s="2" customFormat="1" ht="15" customHeight="1" outlineLevel="5" x14ac:dyDescent="0.2">
      <c r="A39" s="34" t="s">
        <v>39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">
        <v>2500</v>
      </c>
      <c r="P39" s="4">
        <v>31625</v>
      </c>
    </row>
    <row r="40" spans="1:16" s="2" customFormat="1" ht="15" customHeight="1" x14ac:dyDescent="0.2">
      <c r="A40" s="33" t="s">
        <v>40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7">
        <v>15450</v>
      </c>
      <c r="P40" s="8">
        <v>71193.75</v>
      </c>
    </row>
    <row r="41" spans="1:16" s="2" customFormat="1" ht="15" customHeight="1" outlineLevel="5" x14ac:dyDescent="0.2">
      <c r="A41" s="34" t="s">
        <v>41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">
        <v>8000</v>
      </c>
      <c r="P41" s="4">
        <v>16960</v>
      </c>
    </row>
    <row r="42" spans="1:16" s="2" customFormat="1" ht="15" customHeight="1" outlineLevel="5" x14ac:dyDescent="0.2">
      <c r="A42" s="34" t="s">
        <v>42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">
        <v>1000</v>
      </c>
      <c r="P42" s="4">
        <v>1790</v>
      </c>
    </row>
    <row r="43" spans="1:16" s="2" customFormat="1" ht="15" customHeight="1" outlineLevel="5" x14ac:dyDescent="0.2">
      <c r="A43" s="34" t="s">
        <v>43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5">
        <v>500</v>
      </c>
      <c r="P43" s="4">
        <v>1460</v>
      </c>
    </row>
    <row r="44" spans="1:16" s="2" customFormat="1" ht="15" customHeight="1" outlineLevel="5" x14ac:dyDescent="0.2">
      <c r="A44" s="34" t="s">
        <v>44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5">
        <v>500</v>
      </c>
      <c r="P44" s="4">
        <v>1460</v>
      </c>
    </row>
    <row r="45" spans="1:16" s="2" customFormat="1" ht="15" customHeight="1" outlineLevel="4" x14ac:dyDescent="0.2">
      <c r="A45" s="39" t="s">
        <v>45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">
        <v>5000</v>
      </c>
      <c r="P45" s="4">
        <v>37000</v>
      </c>
    </row>
    <row r="46" spans="1:16" s="2" customFormat="1" ht="15" customHeight="1" outlineLevel="4" x14ac:dyDescent="0.2">
      <c r="A46" s="39" t="s">
        <v>46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5">
        <v>400</v>
      </c>
      <c r="P46" s="4">
        <v>3580.75</v>
      </c>
    </row>
    <row r="47" spans="1:16" s="2" customFormat="1" ht="15" customHeight="1" outlineLevel="4" x14ac:dyDescent="0.2">
      <c r="A47" s="39" t="s">
        <v>26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5">
        <v>50</v>
      </c>
      <c r="P47" s="4">
        <v>8943</v>
      </c>
    </row>
    <row r="48" spans="1:16" s="2" customFormat="1" ht="15" customHeight="1" x14ac:dyDescent="0.2">
      <c r="A48" s="33" t="s">
        <v>47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7">
        <v>2000</v>
      </c>
      <c r="P48" s="8">
        <v>9140</v>
      </c>
    </row>
    <row r="49" spans="1:16" s="2" customFormat="1" ht="15" customHeight="1" outlineLevel="5" x14ac:dyDescent="0.2">
      <c r="A49" s="34" t="s">
        <v>48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">
        <v>2000</v>
      </c>
      <c r="P49" s="4">
        <v>9140</v>
      </c>
    </row>
    <row r="50" spans="1:16" s="2" customFormat="1" ht="15" customHeight="1" x14ac:dyDescent="0.2">
      <c r="A50" s="33" t="s">
        <v>49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9">
        <v>3</v>
      </c>
      <c r="P50" s="10">
        <v>568.98</v>
      </c>
    </row>
    <row r="51" spans="1:16" s="2" customFormat="1" ht="15" customHeight="1" outlineLevel="4" x14ac:dyDescent="0.2">
      <c r="A51" s="39" t="s">
        <v>26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5">
        <v>3</v>
      </c>
      <c r="P51" s="6">
        <v>568.98</v>
      </c>
    </row>
    <row r="52" spans="1:16" ht="15" customHeight="1" x14ac:dyDescent="0.2">
      <c r="A52" s="33" t="s">
        <v>50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7">
        <v>3000</v>
      </c>
      <c r="P52" s="8">
        <v>7710</v>
      </c>
    </row>
    <row r="53" spans="1:16" s="2" customFormat="1" ht="15" customHeight="1" outlineLevel="5" x14ac:dyDescent="0.2">
      <c r="A53" s="34" t="s">
        <v>51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">
        <v>3000</v>
      </c>
      <c r="P53" s="4">
        <v>7710</v>
      </c>
    </row>
    <row r="54" spans="1:16" s="2" customFormat="1" ht="15" customHeight="1" x14ac:dyDescent="0.2">
      <c r="A54" s="33" t="s">
        <v>52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7">
        <v>6000</v>
      </c>
      <c r="P54" s="8">
        <v>44400</v>
      </c>
    </row>
    <row r="55" spans="1:16" s="2" customFormat="1" ht="15" customHeight="1" outlineLevel="4" x14ac:dyDescent="0.2">
      <c r="A55" s="39" t="s">
        <v>45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">
        <v>6000</v>
      </c>
      <c r="P55" s="4">
        <v>44400</v>
      </c>
    </row>
    <row r="56" spans="1:16" s="2" customFormat="1" ht="15" customHeight="1" x14ac:dyDescent="0.2">
      <c r="A56" s="33" t="s">
        <v>53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7">
        <v>67000</v>
      </c>
      <c r="P56" s="8">
        <v>148300</v>
      </c>
    </row>
    <row r="57" spans="1:16" s="2" customFormat="1" ht="15" customHeight="1" outlineLevel="5" x14ac:dyDescent="0.2">
      <c r="A57" s="34" t="s">
        <v>54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">
        <v>8000</v>
      </c>
      <c r="P57" s="4">
        <v>23200</v>
      </c>
    </row>
    <row r="58" spans="1:16" s="2" customFormat="1" ht="15" customHeight="1" outlineLevel="5" x14ac:dyDescent="0.2">
      <c r="A58" s="34" t="s">
        <v>55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">
        <v>6000</v>
      </c>
      <c r="P58" s="4">
        <v>17400</v>
      </c>
    </row>
    <row r="59" spans="1:16" s="2" customFormat="1" ht="15" customHeight="1" outlineLevel="5" x14ac:dyDescent="0.2">
      <c r="A59" s="34" t="s">
        <v>56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">
        <v>5000</v>
      </c>
      <c r="P59" s="4">
        <v>13700</v>
      </c>
    </row>
    <row r="60" spans="1:16" s="2" customFormat="1" ht="15" customHeight="1" outlineLevel="5" x14ac:dyDescent="0.2">
      <c r="A60" s="34" t="s">
        <v>57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">
        <v>4000</v>
      </c>
      <c r="P60" s="4">
        <v>9520</v>
      </c>
    </row>
    <row r="61" spans="1:16" s="2" customFormat="1" ht="15" customHeight="1" outlineLevel="5" x14ac:dyDescent="0.2">
      <c r="A61" s="34" t="s">
        <v>58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">
        <v>3000</v>
      </c>
      <c r="P61" s="4">
        <v>4620</v>
      </c>
    </row>
    <row r="62" spans="1:16" s="2" customFormat="1" ht="15" customHeight="1" outlineLevel="5" x14ac:dyDescent="0.2">
      <c r="A62" s="34" t="s">
        <v>59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">
        <v>6000</v>
      </c>
      <c r="P62" s="4">
        <v>9240</v>
      </c>
    </row>
    <row r="63" spans="1:16" s="2" customFormat="1" ht="15" customHeight="1" outlineLevel="5" x14ac:dyDescent="0.2">
      <c r="A63" s="34" t="s">
        <v>60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">
        <v>5000</v>
      </c>
      <c r="P63" s="4">
        <v>13800</v>
      </c>
    </row>
    <row r="64" spans="1:16" s="2" customFormat="1" ht="15" customHeight="1" outlineLevel="5" x14ac:dyDescent="0.2">
      <c r="A64" s="34" t="s">
        <v>61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">
        <v>2000</v>
      </c>
      <c r="P64" s="4">
        <v>5520</v>
      </c>
    </row>
    <row r="65" spans="1:16" s="2" customFormat="1" ht="15" customHeight="1" outlineLevel="5" x14ac:dyDescent="0.2">
      <c r="A65" s="34" t="s">
        <v>62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">
        <v>14475</v>
      </c>
      <c r="P65" s="4">
        <v>27502.5</v>
      </c>
    </row>
    <row r="66" spans="1:16" s="2" customFormat="1" ht="15" customHeight="1" outlineLevel="5" x14ac:dyDescent="0.2">
      <c r="A66" s="34" t="s">
        <v>63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">
        <v>3525</v>
      </c>
      <c r="P66" s="4">
        <v>6697.5</v>
      </c>
    </row>
    <row r="67" spans="1:16" s="2" customFormat="1" ht="15" customHeight="1" outlineLevel="5" x14ac:dyDescent="0.2">
      <c r="A67" s="34" t="s">
        <v>14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">
        <v>10000</v>
      </c>
      <c r="P67" s="4">
        <v>17100</v>
      </c>
    </row>
    <row r="68" spans="1:16" s="2" customFormat="1" ht="15" customHeight="1" x14ac:dyDescent="0.2">
      <c r="A68" s="33" t="s">
        <v>64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7">
        <v>19500</v>
      </c>
      <c r="P68" s="8">
        <v>80320</v>
      </c>
    </row>
    <row r="69" spans="1:16" s="2" customFormat="1" ht="15" customHeight="1" outlineLevel="5" x14ac:dyDescent="0.2">
      <c r="A69" s="34" t="s">
        <v>65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">
        <v>1500</v>
      </c>
      <c r="P69" s="4">
        <v>20520</v>
      </c>
    </row>
    <row r="70" spans="1:16" s="2" customFormat="1" ht="15" customHeight="1" outlineLevel="5" x14ac:dyDescent="0.2">
      <c r="A70" s="34" t="s">
        <v>66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">
        <v>3000</v>
      </c>
      <c r="P70" s="4">
        <v>15900</v>
      </c>
    </row>
    <row r="71" spans="1:16" s="2" customFormat="1" ht="15" customHeight="1" outlineLevel="5" x14ac:dyDescent="0.2">
      <c r="A71" s="34" t="s">
        <v>67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">
        <v>4000</v>
      </c>
      <c r="P71" s="4">
        <v>9360</v>
      </c>
    </row>
    <row r="72" spans="1:16" s="2" customFormat="1" ht="15" customHeight="1" outlineLevel="5" x14ac:dyDescent="0.2">
      <c r="A72" s="34" t="s">
        <v>68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">
        <v>2000</v>
      </c>
      <c r="P72" s="4">
        <v>6220</v>
      </c>
    </row>
    <row r="73" spans="1:16" s="2" customFormat="1" ht="15" customHeight="1" outlineLevel="5" x14ac:dyDescent="0.2">
      <c r="A73" s="34" t="s">
        <v>57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">
        <v>2000</v>
      </c>
      <c r="P73" s="4">
        <v>5420</v>
      </c>
    </row>
    <row r="74" spans="1:16" s="20" customFormat="1" ht="15" customHeight="1" outlineLevel="5" x14ac:dyDescent="0.2">
      <c r="A74" s="34" t="s">
        <v>69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">
        <v>4000</v>
      </c>
      <c r="P74" s="4">
        <v>11200</v>
      </c>
    </row>
    <row r="75" spans="1:16" s="2" customFormat="1" ht="15" customHeight="1" outlineLevel="5" x14ac:dyDescent="0.2">
      <c r="A75" s="34" t="s">
        <v>16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">
        <v>3000</v>
      </c>
      <c r="P75" s="4">
        <v>11700</v>
      </c>
    </row>
    <row r="76" spans="1:16" ht="15" customHeight="1" x14ac:dyDescent="0.2">
      <c r="A76" s="33" t="s">
        <v>70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7">
        <v>9000</v>
      </c>
      <c r="P76" s="8">
        <v>40880</v>
      </c>
    </row>
    <row r="77" spans="1:16" s="2" customFormat="1" ht="15" customHeight="1" outlineLevel="5" x14ac:dyDescent="0.2">
      <c r="A77" s="34" t="s">
        <v>71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">
        <v>4000</v>
      </c>
      <c r="P77" s="4">
        <v>19440</v>
      </c>
    </row>
    <row r="78" spans="1:16" s="2" customFormat="1" ht="15" customHeight="1" outlineLevel="5" x14ac:dyDescent="0.2">
      <c r="A78" s="34" t="s">
        <v>72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">
        <v>2500</v>
      </c>
      <c r="P78" s="4">
        <v>13875</v>
      </c>
    </row>
    <row r="79" spans="1:16" s="2" customFormat="1" ht="15" customHeight="1" outlineLevel="5" x14ac:dyDescent="0.2">
      <c r="A79" s="34" t="s">
        <v>73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">
        <v>2000</v>
      </c>
      <c r="P79" s="4">
        <v>5840</v>
      </c>
    </row>
    <row r="80" spans="1:16" s="2" customFormat="1" ht="15" customHeight="1" outlineLevel="5" x14ac:dyDescent="0.2">
      <c r="A80" s="34" t="s">
        <v>74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5">
        <v>500</v>
      </c>
      <c r="P80" s="4">
        <v>1725</v>
      </c>
    </row>
    <row r="81" spans="1:16" s="2" customFormat="1" ht="15" customHeight="1" x14ac:dyDescent="0.2">
      <c r="A81" s="33" t="s">
        <v>75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7">
        <v>3550</v>
      </c>
      <c r="P81" s="8">
        <v>5803</v>
      </c>
    </row>
    <row r="82" spans="1:16" s="2" customFormat="1" ht="30.75" customHeight="1" outlineLevel="6" x14ac:dyDescent="0.2">
      <c r="A82" s="32" t="s">
        <v>76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">
        <v>2050</v>
      </c>
      <c r="P82" s="4">
        <v>3403</v>
      </c>
    </row>
    <row r="83" spans="1:16" s="2" customFormat="1" ht="30.75" customHeight="1" outlineLevel="6" x14ac:dyDescent="0.2">
      <c r="A83" s="32" t="s">
        <v>77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">
        <v>1500</v>
      </c>
      <c r="P83" s="4">
        <v>2400</v>
      </c>
    </row>
    <row r="84" spans="1:16" s="2" customFormat="1" ht="15" customHeight="1" x14ac:dyDescent="0.2">
      <c r="A84" s="33" t="s">
        <v>78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7">
        <v>16100</v>
      </c>
      <c r="P84" s="8">
        <v>117386</v>
      </c>
    </row>
    <row r="85" spans="1:16" s="2" customFormat="1" ht="15" customHeight="1" outlineLevel="5" x14ac:dyDescent="0.2">
      <c r="A85" s="34" t="s">
        <v>79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">
        <v>8000</v>
      </c>
      <c r="P85" s="4">
        <v>31600</v>
      </c>
    </row>
    <row r="86" spans="1:16" s="2" customFormat="1" ht="15" customHeight="1" outlineLevel="5" x14ac:dyDescent="0.2">
      <c r="A86" s="34" t="s">
        <v>80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">
        <v>2000</v>
      </c>
      <c r="P86" s="4">
        <v>8100</v>
      </c>
    </row>
    <row r="87" spans="1:16" s="2" customFormat="1" ht="15" customHeight="1" outlineLevel="5" x14ac:dyDescent="0.2">
      <c r="A87" s="34" t="s">
        <v>81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">
        <v>1000</v>
      </c>
      <c r="P87" s="4">
        <v>19150</v>
      </c>
    </row>
    <row r="88" spans="1:16" s="2" customFormat="1" ht="15" customHeight="1" outlineLevel="5" x14ac:dyDescent="0.2">
      <c r="A88" s="34" t="s">
        <v>82</v>
      </c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">
        <v>1000</v>
      </c>
      <c r="P88" s="4">
        <v>19150</v>
      </c>
    </row>
    <row r="89" spans="1:16" s="2" customFormat="1" ht="15" customHeight="1" outlineLevel="5" x14ac:dyDescent="0.2">
      <c r="A89" s="34" t="s">
        <v>83</v>
      </c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">
        <v>2000</v>
      </c>
      <c r="P89" s="4">
        <v>6900</v>
      </c>
    </row>
    <row r="90" spans="1:16" s="2" customFormat="1" ht="15" customHeight="1" outlineLevel="5" x14ac:dyDescent="0.2">
      <c r="A90" s="34" t="s">
        <v>84</v>
      </c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">
        <v>2000</v>
      </c>
      <c r="P90" s="4">
        <v>14600</v>
      </c>
    </row>
    <row r="91" spans="1:16" s="2" customFormat="1" ht="15" customHeight="1" outlineLevel="4" x14ac:dyDescent="0.2">
      <c r="A91" s="39" t="s">
        <v>26</v>
      </c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5">
        <v>100</v>
      </c>
      <c r="P91" s="4">
        <v>17886</v>
      </c>
    </row>
    <row r="92" spans="1:16" s="2" customFormat="1" ht="15" customHeight="1" x14ac:dyDescent="0.2">
      <c r="A92" s="33" t="s">
        <v>85</v>
      </c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9">
        <v>200</v>
      </c>
      <c r="P92" s="8">
        <v>1832</v>
      </c>
    </row>
    <row r="93" spans="1:16" s="2" customFormat="1" ht="15" customHeight="1" outlineLevel="4" x14ac:dyDescent="0.2">
      <c r="A93" s="39" t="s">
        <v>86</v>
      </c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5">
        <v>200</v>
      </c>
      <c r="P93" s="4">
        <v>1832</v>
      </c>
    </row>
    <row r="94" spans="1:16" s="2" customFormat="1" ht="15" customHeight="1" x14ac:dyDescent="0.2">
      <c r="A94" s="33" t="s">
        <v>87</v>
      </c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9">
        <v>800</v>
      </c>
      <c r="P94" s="8">
        <v>1892</v>
      </c>
    </row>
    <row r="95" spans="1:16" s="2" customFormat="1" ht="15" customHeight="1" outlineLevel="5" x14ac:dyDescent="0.2">
      <c r="A95" s="34" t="s">
        <v>88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5">
        <v>600</v>
      </c>
      <c r="P95" s="4">
        <v>1542</v>
      </c>
    </row>
    <row r="96" spans="1:16" s="2" customFormat="1" ht="15" customHeight="1" outlineLevel="5" x14ac:dyDescent="0.2">
      <c r="A96" s="34" t="s">
        <v>89</v>
      </c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5">
        <v>200</v>
      </c>
      <c r="P96" s="6">
        <v>350</v>
      </c>
    </row>
    <row r="97" spans="1:16" s="2" customFormat="1" ht="15" customHeight="1" x14ac:dyDescent="0.2">
      <c r="A97" s="33" t="s">
        <v>90</v>
      </c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7">
        <v>10000</v>
      </c>
      <c r="P97" s="8">
        <v>31200</v>
      </c>
    </row>
    <row r="98" spans="1:16" s="2" customFormat="1" ht="15" outlineLevel="5" x14ac:dyDescent="0.2">
      <c r="A98" s="34" t="s">
        <v>91</v>
      </c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">
        <v>10000</v>
      </c>
      <c r="P98" s="4">
        <v>31200</v>
      </c>
    </row>
    <row r="99" spans="1:16" ht="15" customHeight="1" x14ac:dyDescent="0.2">
      <c r="A99" s="33" t="s">
        <v>93</v>
      </c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7">
        <v>51075</v>
      </c>
      <c r="P99" s="8">
        <v>214601.25</v>
      </c>
    </row>
    <row r="100" spans="1:16" s="2" customFormat="1" ht="15" customHeight="1" outlineLevel="5" x14ac:dyDescent="0.2">
      <c r="A100" s="34" t="s">
        <v>94</v>
      </c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">
        <v>6000</v>
      </c>
      <c r="P100" s="4">
        <v>11340</v>
      </c>
    </row>
    <row r="101" spans="1:16" s="2" customFormat="1" ht="15" customHeight="1" outlineLevel="5" x14ac:dyDescent="0.2">
      <c r="A101" s="34" t="s">
        <v>95</v>
      </c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">
        <v>1500</v>
      </c>
      <c r="P101" s="4">
        <v>5265</v>
      </c>
    </row>
    <row r="102" spans="1:16" s="2" customFormat="1" ht="15" customHeight="1" outlineLevel="5" x14ac:dyDescent="0.2">
      <c r="A102" s="34" t="s">
        <v>96</v>
      </c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5">
        <v>500</v>
      </c>
      <c r="P102" s="4">
        <v>1755</v>
      </c>
    </row>
    <row r="103" spans="1:16" s="2" customFormat="1" ht="15" customHeight="1" outlineLevel="5" x14ac:dyDescent="0.2">
      <c r="A103" s="34" t="s">
        <v>97</v>
      </c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">
        <v>2000</v>
      </c>
      <c r="P103" s="4">
        <v>5280</v>
      </c>
    </row>
    <row r="104" spans="1:16" s="2" customFormat="1" ht="15" customHeight="1" outlineLevel="5" x14ac:dyDescent="0.2">
      <c r="A104" s="34" t="s">
        <v>98</v>
      </c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">
        <v>2000</v>
      </c>
      <c r="P104" s="4">
        <v>5520</v>
      </c>
    </row>
    <row r="105" spans="1:16" s="2" customFormat="1" ht="15" customHeight="1" outlineLevel="5" x14ac:dyDescent="0.2">
      <c r="A105" s="34" t="s">
        <v>99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">
        <v>5400</v>
      </c>
      <c r="P105" s="4">
        <v>19926</v>
      </c>
    </row>
    <row r="106" spans="1:16" s="2" customFormat="1" ht="15" customHeight="1" outlineLevel="5" x14ac:dyDescent="0.2">
      <c r="A106" s="34" t="s">
        <v>100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5">
        <v>375</v>
      </c>
      <c r="P106" s="6">
        <v>828.75</v>
      </c>
    </row>
    <row r="107" spans="1:16" s="2" customFormat="1" ht="15" customHeight="1" outlineLevel="5" x14ac:dyDescent="0.2">
      <c r="A107" s="34" t="s">
        <v>101</v>
      </c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5">
        <v>500</v>
      </c>
      <c r="P107" s="4">
        <v>1105</v>
      </c>
    </row>
    <row r="108" spans="1:16" s="2" customFormat="1" ht="15" customHeight="1" outlineLevel="5" x14ac:dyDescent="0.2">
      <c r="A108" s="34" t="s">
        <v>102</v>
      </c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5">
        <v>500</v>
      </c>
      <c r="P108" s="4">
        <v>1105</v>
      </c>
    </row>
    <row r="109" spans="1:16" s="2" customFormat="1" ht="15" customHeight="1" outlineLevel="5" x14ac:dyDescent="0.2">
      <c r="A109" s="34" t="s">
        <v>24</v>
      </c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">
        <v>1000</v>
      </c>
      <c r="P109" s="4">
        <v>2800</v>
      </c>
    </row>
    <row r="110" spans="1:16" s="2" customFormat="1" ht="15" customHeight="1" outlineLevel="5" x14ac:dyDescent="0.2">
      <c r="A110" s="34" t="s">
        <v>84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">
        <v>5000</v>
      </c>
      <c r="P110" s="4">
        <v>29200</v>
      </c>
    </row>
    <row r="111" spans="1:16" s="2" customFormat="1" ht="15" customHeight="1" outlineLevel="5" x14ac:dyDescent="0.2">
      <c r="A111" s="34" t="s">
        <v>103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">
        <v>1000</v>
      </c>
      <c r="P111" s="4">
        <v>2330</v>
      </c>
    </row>
    <row r="112" spans="1:16" s="2" customFormat="1" ht="15" customHeight="1" outlineLevel="5" x14ac:dyDescent="0.2">
      <c r="A112" s="34" t="s">
        <v>104</v>
      </c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">
        <v>3000</v>
      </c>
      <c r="P112" s="4">
        <v>5790</v>
      </c>
    </row>
    <row r="113" spans="1:17" s="2" customFormat="1" ht="15" customHeight="1" outlineLevel="5" x14ac:dyDescent="0.2">
      <c r="A113" s="34" t="s">
        <v>62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">
        <v>3000</v>
      </c>
      <c r="P113" s="4">
        <v>5790</v>
      </c>
    </row>
    <row r="114" spans="1:17" s="2" customFormat="1" ht="15" customHeight="1" outlineLevel="5" x14ac:dyDescent="0.2">
      <c r="A114" s="34" t="s">
        <v>105</v>
      </c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">
        <v>1425</v>
      </c>
      <c r="P114" s="4">
        <v>3705</v>
      </c>
    </row>
    <row r="115" spans="1:17" s="2" customFormat="1" ht="15" customHeight="1" outlineLevel="5" x14ac:dyDescent="0.2">
      <c r="A115" s="34" t="s">
        <v>106</v>
      </c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">
        <v>4575</v>
      </c>
      <c r="P115" s="4">
        <v>11895</v>
      </c>
    </row>
    <row r="116" spans="1:17" s="2" customFormat="1" ht="15" customHeight="1" outlineLevel="5" x14ac:dyDescent="0.2">
      <c r="A116" s="34" t="s">
        <v>63</v>
      </c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">
        <v>3725</v>
      </c>
      <c r="P116" s="4">
        <v>6508</v>
      </c>
    </row>
    <row r="117" spans="1:17" s="2" customFormat="1" ht="15" customHeight="1" outlineLevel="5" x14ac:dyDescent="0.2">
      <c r="A117" s="34" t="s">
        <v>107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5">
        <v>300</v>
      </c>
      <c r="P117" s="4">
        <v>2916</v>
      </c>
    </row>
    <row r="118" spans="1:17" s="2" customFormat="1" ht="15" customHeight="1" outlineLevel="4" x14ac:dyDescent="0.2">
      <c r="A118" s="39" t="s">
        <v>45</v>
      </c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">
        <v>7125</v>
      </c>
      <c r="P118" s="4">
        <v>47880</v>
      </c>
    </row>
    <row r="119" spans="1:17" s="2" customFormat="1" ht="15" customHeight="1" outlineLevel="4" x14ac:dyDescent="0.2">
      <c r="A119" s="39" t="s">
        <v>46</v>
      </c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5">
        <v>200</v>
      </c>
      <c r="P119" s="4">
        <v>1766</v>
      </c>
    </row>
    <row r="120" spans="1:17" s="2" customFormat="1" ht="15" customHeight="1" outlineLevel="4" x14ac:dyDescent="0.2">
      <c r="A120" s="39" t="s">
        <v>108</v>
      </c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5">
        <v>700</v>
      </c>
      <c r="P120" s="4">
        <v>25277</v>
      </c>
    </row>
    <row r="121" spans="1:17" s="2" customFormat="1" ht="15" customHeight="1" outlineLevel="5" x14ac:dyDescent="0.2">
      <c r="A121" s="34" t="s">
        <v>39</v>
      </c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">
        <v>1250</v>
      </c>
      <c r="P121" s="4">
        <v>16619.5</v>
      </c>
    </row>
    <row r="122" spans="1:17" ht="15" customHeight="1" x14ac:dyDescent="0.2">
      <c r="A122" s="33" t="s">
        <v>109</v>
      </c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7">
        <v>12000</v>
      </c>
      <c r="P122" s="8">
        <v>33420</v>
      </c>
    </row>
    <row r="123" spans="1:17" s="2" customFormat="1" ht="28.5" customHeight="1" outlineLevel="6" x14ac:dyDescent="0.2">
      <c r="A123" s="32" t="s">
        <v>31</v>
      </c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">
        <v>1000</v>
      </c>
      <c r="P123" s="4">
        <v>1690</v>
      </c>
      <c r="Q123" s="23" t="s">
        <v>230</v>
      </c>
    </row>
    <row r="124" spans="1:17" s="20" customFormat="1" ht="15" customHeight="1" outlineLevel="5" x14ac:dyDescent="0.2">
      <c r="A124" s="34" t="s">
        <v>110</v>
      </c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">
        <v>5000</v>
      </c>
      <c r="P124" s="4">
        <v>13250</v>
      </c>
      <c r="Q124" s="23" t="s">
        <v>227</v>
      </c>
    </row>
    <row r="125" spans="1:17" s="20" customFormat="1" ht="15" customHeight="1" outlineLevel="5" x14ac:dyDescent="0.2">
      <c r="A125" s="34" t="s">
        <v>92</v>
      </c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">
        <v>3000</v>
      </c>
      <c r="P125" s="4">
        <v>8400</v>
      </c>
      <c r="Q125" s="23" t="s">
        <v>228</v>
      </c>
    </row>
    <row r="126" spans="1:17" s="20" customFormat="1" ht="15" customHeight="1" outlineLevel="5" x14ac:dyDescent="0.2">
      <c r="A126" s="34" t="s">
        <v>69</v>
      </c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">
        <v>3000</v>
      </c>
      <c r="P126" s="4">
        <v>10080</v>
      </c>
      <c r="Q126" s="23" t="s">
        <v>229</v>
      </c>
    </row>
    <row r="127" spans="1:17" s="2" customFormat="1" ht="15" customHeight="1" x14ac:dyDescent="0.2">
      <c r="A127" s="33" t="s">
        <v>109</v>
      </c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7">
        <v>136950</v>
      </c>
      <c r="P127" s="8">
        <v>857295.5</v>
      </c>
    </row>
    <row r="128" spans="1:17" s="2" customFormat="1" ht="15" customHeight="1" outlineLevel="5" x14ac:dyDescent="0.2">
      <c r="A128" s="34" t="s">
        <v>111</v>
      </c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">
        <v>2000</v>
      </c>
      <c r="P128" s="4">
        <v>32820</v>
      </c>
      <c r="Q128" s="23" t="s">
        <v>229</v>
      </c>
    </row>
    <row r="129" spans="1:17" s="2" customFormat="1" ht="15" customHeight="1" outlineLevel="5" x14ac:dyDescent="0.2">
      <c r="A129" s="34" t="s">
        <v>22</v>
      </c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">
        <v>3500</v>
      </c>
      <c r="P129" s="4">
        <v>23765</v>
      </c>
      <c r="Q129" s="23" t="s">
        <v>166</v>
      </c>
    </row>
    <row r="130" spans="1:17" s="2" customFormat="1" ht="15" customHeight="1" outlineLevel="5" x14ac:dyDescent="0.2">
      <c r="A130" s="34" t="s">
        <v>112</v>
      </c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">
        <v>1000</v>
      </c>
      <c r="P130" s="4">
        <v>6180</v>
      </c>
      <c r="Q130" s="23" t="s">
        <v>231</v>
      </c>
    </row>
    <row r="131" spans="1:17" s="2" customFormat="1" ht="15" customHeight="1" outlineLevel="5" x14ac:dyDescent="0.2">
      <c r="A131" s="34" t="s">
        <v>113</v>
      </c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">
        <v>1500</v>
      </c>
      <c r="P131" s="4">
        <v>3855</v>
      </c>
      <c r="Q131" s="23" t="s">
        <v>227</v>
      </c>
    </row>
    <row r="132" spans="1:17" s="2" customFormat="1" ht="15" customHeight="1" outlineLevel="5" x14ac:dyDescent="0.2">
      <c r="A132" s="34" t="s">
        <v>114</v>
      </c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">
        <v>1500</v>
      </c>
      <c r="P132" s="4">
        <v>8625</v>
      </c>
      <c r="Q132" s="23" t="s">
        <v>232</v>
      </c>
    </row>
    <row r="133" spans="1:17" s="2" customFormat="1" ht="15" customHeight="1" outlineLevel="5" x14ac:dyDescent="0.2">
      <c r="A133" s="34" t="s">
        <v>115</v>
      </c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">
        <v>3000</v>
      </c>
      <c r="P133" s="4">
        <v>61500</v>
      </c>
      <c r="Q133" s="23" t="s">
        <v>233</v>
      </c>
    </row>
    <row r="134" spans="1:17" s="2" customFormat="1" ht="15" customHeight="1" outlineLevel="5" x14ac:dyDescent="0.2">
      <c r="A134" s="34" t="s">
        <v>116</v>
      </c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">
        <v>9600</v>
      </c>
      <c r="P134" s="4">
        <v>28512</v>
      </c>
      <c r="Q134" s="23" t="s">
        <v>234</v>
      </c>
    </row>
    <row r="135" spans="1:17" s="2" customFormat="1" ht="15" customHeight="1" outlineLevel="5" x14ac:dyDescent="0.2">
      <c r="A135" s="34" t="s">
        <v>117</v>
      </c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5">
        <v>250</v>
      </c>
      <c r="P135" s="4">
        <v>1037.5</v>
      </c>
      <c r="Q135" s="23" t="s">
        <v>235</v>
      </c>
    </row>
    <row r="136" spans="1:17" s="2" customFormat="1" ht="15" customHeight="1" outlineLevel="5" x14ac:dyDescent="0.2">
      <c r="A136" s="34" t="s">
        <v>99</v>
      </c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">
        <v>1150</v>
      </c>
      <c r="P136" s="4">
        <v>4772.5</v>
      </c>
      <c r="Q136" s="23" t="s">
        <v>235</v>
      </c>
    </row>
    <row r="137" spans="1:17" s="2" customFormat="1" ht="15" customHeight="1" outlineLevel="5" x14ac:dyDescent="0.2">
      <c r="A137" s="34" t="s">
        <v>118</v>
      </c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">
        <v>9000</v>
      </c>
      <c r="P137" s="4">
        <v>24840</v>
      </c>
      <c r="Q137" s="23" t="s">
        <v>236</v>
      </c>
    </row>
    <row r="138" spans="1:17" s="2" customFormat="1" ht="15" customHeight="1" outlineLevel="5" x14ac:dyDescent="0.2">
      <c r="A138" s="34" t="s">
        <v>119</v>
      </c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">
        <v>2000</v>
      </c>
      <c r="P138" s="4">
        <v>14800</v>
      </c>
      <c r="Q138" s="23" t="s">
        <v>229</v>
      </c>
    </row>
    <row r="139" spans="1:17" s="2" customFormat="1" ht="15" customHeight="1" outlineLevel="5" x14ac:dyDescent="0.2">
      <c r="A139" s="34" t="s">
        <v>120</v>
      </c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5">
        <v>700</v>
      </c>
      <c r="P139" s="4">
        <v>2450</v>
      </c>
      <c r="Q139" s="23" t="s">
        <v>237</v>
      </c>
    </row>
    <row r="140" spans="1:17" s="2" customFormat="1" ht="15" customHeight="1" outlineLevel="5" x14ac:dyDescent="0.2">
      <c r="A140" s="34" t="s">
        <v>121</v>
      </c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5">
        <v>400</v>
      </c>
      <c r="P140" s="4">
        <v>1368</v>
      </c>
      <c r="Q140" s="23" t="s">
        <v>231</v>
      </c>
    </row>
    <row r="141" spans="1:17" s="2" customFormat="1" ht="15" customHeight="1" outlineLevel="5" x14ac:dyDescent="0.2">
      <c r="A141" s="34" t="s">
        <v>84</v>
      </c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">
        <v>2175</v>
      </c>
      <c r="P141" s="4">
        <v>15877.5</v>
      </c>
      <c r="Q141" s="23"/>
    </row>
    <row r="142" spans="1:17" s="28" customFormat="1" ht="15" customHeight="1" outlineLevel="6" x14ac:dyDescent="0.2">
      <c r="A142" s="42" t="s">
        <v>238</v>
      </c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3">
        <v>1175</v>
      </c>
      <c r="P142" s="4">
        <v>8577.5</v>
      </c>
      <c r="Q142" s="27"/>
    </row>
    <row r="143" spans="1:17" s="28" customFormat="1" ht="15" outlineLevel="6" x14ac:dyDescent="0.2">
      <c r="A143" s="42" t="s">
        <v>231</v>
      </c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3">
        <v>400</v>
      </c>
      <c r="P143" s="4">
        <v>2920</v>
      </c>
      <c r="Q143" s="27"/>
    </row>
    <row r="144" spans="1:17" s="28" customFormat="1" ht="15" outlineLevel="6" x14ac:dyDescent="0.2">
      <c r="A144" s="42" t="s">
        <v>239</v>
      </c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3">
        <v>600</v>
      </c>
      <c r="P144" s="4">
        <v>4380</v>
      </c>
      <c r="Q144" s="27"/>
    </row>
    <row r="145" spans="1:17" s="2" customFormat="1" ht="15" customHeight="1" outlineLevel="5" x14ac:dyDescent="0.2">
      <c r="A145" s="34" t="s">
        <v>122</v>
      </c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5">
        <v>825</v>
      </c>
      <c r="P145" s="4">
        <v>6022.5</v>
      </c>
      <c r="Q145" s="23" t="s">
        <v>238</v>
      </c>
    </row>
    <row r="146" spans="1:17" s="2" customFormat="1" ht="15" customHeight="1" outlineLevel="5" x14ac:dyDescent="0.2">
      <c r="A146" s="34" t="s">
        <v>123</v>
      </c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">
        <v>1000</v>
      </c>
      <c r="P146" s="4">
        <v>6790</v>
      </c>
      <c r="Q146" s="23" t="s">
        <v>239</v>
      </c>
    </row>
    <row r="147" spans="1:17" s="2" customFormat="1" ht="15" customHeight="1" outlineLevel="5" x14ac:dyDescent="0.2">
      <c r="A147" s="34" t="s">
        <v>124</v>
      </c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">
        <v>2200</v>
      </c>
      <c r="P147" s="4">
        <v>15015</v>
      </c>
      <c r="Q147" s="23"/>
    </row>
    <row r="148" spans="1:17" s="20" customFormat="1" ht="15" customHeight="1" outlineLevel="6" x14ac:dyDescent="0.2">
      <c r="A148" s="42" t="s">
        <v>231</v>
      </c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3">
        <v>700</v>
      </c>
      <c r="P148" s="4">
        <v>4753</v>
      </c>
      <c r="Q148" s="27"/>
    </row>
    <row r="149" spans="1:17" s="28" customFormat="1" ht="15" outlineLevel="6" x14ac:dyDescent="0.2">
      <c r="A149" s="42" t="s">
        <v>239</v>
      </c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3">
        <v>800</v>
      </c>
      <c r="P149" s="4">
        <v>5432</v>
      </c>
      <c r="Q149" s="27"/>
    </row>
    <row r="150" spans="1:17" s="28" customFormat="1" ht="15" outlineLevel="6" x14ac:dyDescent="0.2">
      <c r="A150" s="42" t="s">
        <v>237</v>
      </c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3">
        <v>700</v>
      </c>
      <c r="P150" s="4">
        <v>4830</v>
      </c>
      <c r="Q150" s="27"/>
    </row>
    <row r="151" spans="1:17" s="2" customFormat="1" ht="15" customHeight="1" outlineLevel="5" x14ac:dyDescent="0.2">
      <c r="A151" s="34" t="s">
        <v>125</v>
      </c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">
        <v>1000</v>
      </c>
      <c r="P151" s="4">
        <v>1920</v>
      </c>
      <c r="Q151" s="23" t="s">
        <v>227</v>
      </c>
    </row>
    <row r="152" spans="1:17" s="2" customFormat="1" ht="15" customHeight="1" outlineLevel="5" x14ac:dyDescent="0.2">
      <c r="A152" s="34" t="s">
        <v>126</v>
      </c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">
        <v>2000</v>
      </c>
      <c r="P152" s="4">
        <v>3500</v>
      </c>
      <c r="Q152" s="23" t="s">
        <v>240</v>
      </c>
    </row>
    <row r="153" spans="1:17" s="2" customFormat="1" ht="15" customHeight="1" outlineLevel="5" x14ac:dyDescent="0.2">
      <c r="A153" s="34" t="s">
        <v>127</v>
      </c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5">
        <v>500</v>
      </c>
      <c r="P153" s="4">
        <v>1100</v>
      </c>
      <c r="Q153" s="23" t="s">
        <v>230</v>
      </c>
    </row>
    <row r="154" spans="1:17" s="2" customFormat="1" ht="15" customHeight="1" outlineLevel="5" x14ac:dyDescent="0.2">
      <c r="A154" s="34" t="s">
        <v>128</v>
      </c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">
        <v>1000</v>
      </c>
      <c r="P154" s="4">
        <v>2920</v>
      </c>
      <c r="Q154" s="23" t="s">
        <v>241</v>
      </c>
    </row>
    <row r="155" spans="1:17" s="2" customFormat="1" ht="15" customHeight="1" outlineLevel="5" x14ac:dyDescent="0.2">
      <c r="A155" s="34" t="s">
        <v>129</v>
      </c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">
        <v>2000</v>
      </c>
      <c r="P155" s="4">
        <v>6900</v>
      </c>
      <c r="Q155" s="23" t="s">
        <v>233</v>
      </c>
    </row>
    <row r="156" spans="1:17" s="2" customFormat="1" ht="15" customHeight="1" outlineLevel="5" x14ac:dyDescent="0.2">
      <c r="A156" s="34" t="s">
        <v>130</v>
      </c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">
        <v>3000</v>
      </c>
      <c r="P156" s="4">
        <v>10350</v>
      </c>
      <c r="Q156" s="23" t="s">
        <v>233</v>
      </c>
    </row>
    <row r="157" spans="1:17" s="2" customFormat="1" ht="15" customHeight="1" outlineLevel="5" x14ac:dyDescent="0.2">
      <c r="A157" s="34" t="s">
        <v>131</v>
      </c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">
        <v>20000</v>
      </c>
      <c r="P157" s="4">
        <v>70600</v>
      </c>
      <c r="Q157" s="23" t="s">
        <v>235</v>
      </c>
    </row>
    <row r="158" spans="1:17" s="2" customFormat="1" ht="15" customHeight="1" outlineLevel="5" x14ac:dyDescent="0.2">
      <c r="A158" s="34" t="s">
        <v>132</v>
      </c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">
        <v>10000</v>
      </c>
      <c r="P158" s="4">
        <v>35300</v>
      </c>
      <c r="Q158" s="23" t="s">
        <v>235</v>
      </c>
    </row>
    <row r="159" spans="1:17" s="2" customFormat="1" ht="15" customHeight="1" outlineLevel="5" x14ac:dyDescent="0.2">
      <c r="A159" s="34" t="s">
        <v>105</v>
      </c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">
        <v>5000</v>
      </c>
      <c r="P159" s="4">
        <v>18000</v>
      </c>
      <c r="Q159" s="4" t="s">
        <v>242</v>
      </c>
    </row>
    <row r="160" spans="1:17" s="2" customFormat="1" ht="15" customHeight="1" outlineLevel="5" x14ac:dyDescent="0.2">
      <c r="A160" s="34" t="s">
        <v>133</v>
      </c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">
        <v>1575</v>
      </c>
      <c r="P160" s="4">
        <v>5433.75</v>
      </c>
      <c r="Q160" s="23" t="s">
        <v>244</v>
      </c>
    </row>
    <row r="161" spans="1:17" s="2" customFormat="1" ht="15" customHeight="1" outlineLevel="5" x14ac:dyDescent="0.2">
      <c r="A161" s="34" t="s">
        <v>134</v>
      </c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5">
        <v>425</v>
      </c>
      <c r="P161" s="4">
        <v>1466.25</v>
      </c>
      <c r="Q161" s="23" t="s">
        <v>244</v>
      </c>
    </row>
    <row r="162" spans="1:17" s="2" customFormat="1" ht="15" customHeight="1" outlineLevel="5" x14ac:dyDescent="0.2">
      <c r="A162" s="34" t="s">
        <v>106</v>
      </c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">
        <v>8000</v>
      </c>
      <c r="P162" s="4">
        <v>26600</v>
      </c>
    </row>
    <row r="163" spans="1:17" s="20" customFormat="1" ht="15" outlineLevel="6" x14ac:dyDescent="0.2">
      <c r="A163" s="43" t="s">
        <v>245</v>
      </c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3">
        <v>3000</v>
      </c>
      <c r="P163" s="4">
        <v>10350</v>
      </c>
    </row>
    <row r="164" spans="1:17" s="20" customFormat="1" ht="15" outlineLevel="6" x14ac:dyDescent="0.2">
      <c r="A164" s="43" t="s">
        <v>246</v>
      </c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3">
        <v>5000</v>
      </c>
      <c r="P164" s="4">
        <v>16250</v>
      </c>
    </row>
    <row r="165" spans="1:17" s="2" customFormat="1" ht="15" customHeight="1" outlineLevel="5" x14ac:dyDescent="0.2">
      <c r="A165" s="34" t="s">
        <v>63</v>
      </c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">
        <v>2000</v>
      </c>
      <c r="P165" s="4">
        <v>5300</v>
      </c>
      <c r="Q165" s="23" t="s">
        <v>247</v>
      </c>
    </row>
    <row r="166" spans="1:17" s="2" customFormat="1" ht="15" customHeight="1" outlineLevel="5" x14ac:dyDescent="0.2">
      <c r="A166" s="45" t="s">
        <v>225</v>
      </c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3">
        <v>2000</v>
      </c>
      <c r="P166" s="4">
        <v>49380</v>
      </c>
      <c r="Q166" s="23" t="s">
        <v>238</v>
      </c>
    </row>
    <row r="167" spans="1:17" s="2" customFormat="1" ht="15" customHeight="1" outlineLevel="5" x14ac:dyDescent="0.2">
      <c r="A167" s="44" t="s">
        <v>135</v>
      </c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14">
        <v>2000</v>
      </c>
      <c r="P167" s="15">
        <v>24900</v>
      </c>
      <c r="Q167" s="23" t="s">
        <v>233</v>
      </c>
    </row>
    <row r="168" spans="1:17" s="16" customFormat="1" ht="15" customHeight="1" outlineLevel="5" x14ac:dyDescent="0.2">
      <c r="A168" s="44" t="s">
        <v>136</v>
      </c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14">
        <v>1000</v>
      </c>
      <c r="P168" s="15">
        <v>10940</v>
      </c>
      <c r="Q168" s="26" t="s">
        <v>235</v>
      </c>
    </row>
    <row r="169" spans="1:17" s="2" customFormat="1" ht="15" customHeight="1" outlineLevel="4" x14ac:dyDescent="0.2">
      <c r="A169" s="39" t="s">
        <v>45</v>
      </c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">
        <v>23550</v>
      </c>
      <c r="P169" s="4">
        <v>194707.5</v>
      </c>
      <c r="Q169" s="23"/>
    </row>
    <row r="170" spans="1:17" s="20" customFormat="1" ht="15" customHeight="1" outlineLevel="5" x14ac:dyDescent="0.2">
      <c r="A170" s="43" t="s">
        <v>243</v>
      </c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3">
        <v>1550</v>
      </c>
      <c r="P170" s="4">
        <v>13207.5</v>
      </c>
      <c r="Q170" s="27"/>
    </row>
    <row r="171" spans="1:17" s="20" customFormat="1" ht="15" outlineLevel="5" x14ac:dyDescent="0.2">
      <c r="A171" s="43" t="s">
        <v>230</v>
      </c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3">
        <v>3000</v>
      </c>
      <c r="P171" s="4">
        <v>24750</v>
      </c>
      <c r="Q171" s="27"/>
    </row>
    <row r="172" spans="1:17" s="20" customFormat="1" ht="15" outlineLevel="5" x14ac:dyDescent="0.2">
      <c r="A172" s="43" t="s">
        <v>229</v>
      </c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3">
        <v>15000</v>
      </c>
      <c r="P172" s="4">
        <v>123750</v>
      </c>
    </row>
    <row r="173" spans="1:17" s="20" customFormat="1" ht="15" outlineLevel="5" x14ac:dyDescent="0.2">
      <c r="A173" s="43" t="s">
        <v>248</v>
      </c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3">
        <v>4000</v>
      </c>
      <c r="P173" s="4">
        <v>33000</v>
      </c>
    </row>
    <row r="174" spans="1:17" s="2" customFormat="1" ht="15" customHeight="1" outlineLevel="5" x14ac:dyDescent="0.2">
      <c r="A174" s="34" t="s">
        <v>16</v>
      </c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">
        <v>3000</v>
      </c>
      <c r="P174" s="4">
        <v>13930</v>
      </c>
    </row>
    <row r="175" spans="1:17" s="20" customFormat="1" ht="15" customHeight="1" outlineLevel="6" x14ac:dyDescent="0.2">
      <c r="A175" s="43" t="s">
        <v>241</v>
      </c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3">
        <v>1000</v>
      </c>
      <c r="P175" s="4">
        <v>4810</v>
      </c>
    </row>
    <row r="176" spans="1:17" s="20" customFormat="1" ht="15" customHeight="1" outlineLevel="6" x14ac:dyDescent="0.2">
      <c r="A176" s="43" t="s">
        <v>249</v>
      </c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3">
        <v>2000</v>
      </c>
      <c r="P176" s="4">
        <v>9120</v>
      </c>
    </row>
    <row r="177" spans="1:16" s="2" customFormat="1" ht="15" customHeight="1" outlineLevel="5" x14ac:dyDescent="0.2">
      <c r="A177" s="34" t="s">
        <v>39</v>
      </c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">
        <v>7100</v>
      </c>
      <c r="P177" s="4">
        <v>115818</v>
      </c>
    </row>
    <row r="178" spans="1:16" s="20" customFormat="1" ht="15" customHeight="1" outlineLevel="6" x14ac:dyDescent="0.2">
      <c r="A178" s="43" t="s">
        <v>228</v>
      </c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3">
        <v>500</v>
      </c>
      <c r="P178" s="4">
        <v>8150</v>
      </c>
    </row>
    <row r="179" spans="1:16" s="20" customFormat="1" ht="15" outlineLevel="6" x14ac:dyDescent="0.2">
      <c r="A179" s="43" t="s">
        <v>230</v>
      </c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3">
        <v>500</v>
      </c>
      <c r="P179" s="4">
        <v>8190</v>
      </c>
    </row>
    <row r="180" spans="1:16" s="20" customFormat="1" ht="15" customHeight="1" outlineLevel="6" x14ac:dyDescent="0.2">
      <c r="A180" s="43" t="s">
        <v>229</v>
      </c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3">
        <v>500</v>
      </c>
      <c r="P180" s="4">
        <v>8150</v>
      </c>
    </row>
    <row r="181" spans="1:16" s="20" customFormat="1" ht="15" outlineLevel="6" x14ac:dyDescent="0.2">
      <c r="A181" s="43" t="s">
        <v>250</v>
      </c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3">
        <v>5000</v>
      </c>
      <c r="P181" s="4">
        <v>81500</v>
      </c>
    </row>
    <row r="182" spans="1:16" s="20" customFormat="1" ht="15" outlineLevel="6" x14ac:dyDescent="0.2">
      <c r="A182" s="43" t="s">
        <v>251</v>
      </c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3">
        <v>600</v>
      </c>
      <c r="P182" s="4">
        <v>9828</v>
      </c>
    </row>
    <row r="183" spans="1:16" s="2" customFormat="1" ht="15" customHeight="1" x14ac:dyDescent="0.2">
      <c r="A183" s="33" t="s">
        <v>137</v>
      </c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7">
        <v>22500</v>
      </c>
      <c r="P183" s="8">
        <v>72250</v>
      </c>
    </row>
    <row r="184" spans="1:16" s="2" customFormat="1" ht="15" customHeight="1" outlineLevel="5" x14ac:dyDescent="0.2">
      <c r="A184" s="34" t="s">
        <v>138</v>
      </c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">
        <v>7000</v>
      </c>
      <c r="P184" s="4">
        <v>27650</v>
      </c>
    </row>
    <row r="185" spans="1:16" s="2" customFormat="1" ht="15" customHeight="1" outlineLevel="5" x14ac:dyDescent="0.2">
      <c r="A185" s="34" t="s">
        <v>139</v>
      </c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">
        <v>3000</v>
      </c>
      <c r="P185" s="4">
        <v>11850</v>
      </c>
    </row>
    <row r="186" spans="1:16" s="20" customFormat="1" ht="15" customHeight="1" outlineLevel="5" x14ac:dyDescent="0.2">
      <c r="A186" s="34" t="s">
        <v>92</v>
      </c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">
        <v>11425</v>
      </c>
      <c r="P186" s="4">
        <v>29933.5</v>
      </c>
    </row>
    <row r="187" spans="1:16" s="20" customFormat="1" ht="15" customHeight="1" outlineLevel="5" x14ac:dyDescent="0.2">
      <c r="A187" s="34" t="s">
        <v>69</v>
      </c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">
        <v>1075</v>
      </c>
      <c r="P187" s="4">
        <v>2816.5</v>
      </c>
    </row>
    <row r="188" spans="1:16" s="2" customFormat="1" ht="15" customHeight="1" x14ac:dyDescent="0.2">
      <c r="A188" s="33" t="s">
        <v>140</v>
      </c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7">
        <v>14300</v>
      </c>
      <c r="P188" s="8">
        <v>47624</v>
      </c>
    </row>
    <row r="189" spans="1:16" s="2" customFormat="1" ht="15" customHeight="1" outlineLevel="5" x14ac:dyDescent="0.2">
      <c r="A189" s="34" t="s">
        <v>141</v>
      </c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">
        <v>3500</v>
      </c>
      <c r="P189" s="4">
        <v>12075</v>
      </c>
    </row>
    <row r="190" spans="1:16" s="2" customFormat="1" ht="15" customHeight="1" outlineLevel="5" x14ac:dyDescent="0.2">
      <c r="A190" s="34" t="s">
        <v>142</v>
      </c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">
        <v>1000</v>
      </c>
      <c r="P190" s="4">
        <v>2760</v>
      </c>
    </row>
    <row r="191" spans="1:16" s="2" customFormat="1" ht="15" customHeight="1" outlineLevel="5" x14ac:dyDescent="0.2">
      <c r="A191" s="34" t="s">
        <v>143</v>
      </c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5">
        <v>575</v>
      </c>
      <c r="P191" s="4">
        <v>3869.75</v>
      </c>
    </row>
    <row r="192" spans="1:16" s="2" customFormat="1" ht="15" customHeight="1" outlineLevel="5" x14ac:dyDescent="0.2">
      <c r="A192" s="34" t="s">
        <v>124</v>
      </c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5">
        <v>225</v>
      </c>
      <c r="P192" s="4">
        <v>1514.25</v>
      </c>
    </row>
    <row r="193" spans="1:16" s="2" customFormat="1" ht="15" customHeight="1" outlineLevel="5" x14ac:dyDescent="0.2">
      <c r="A193" s="34" t="s">
        <v>144</v>
      </c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">
        <v>1000</v>
      </c>
      <c r="P193" s="4">
        <v>2980</v>
      </c>
    </row>
    <row r="194" spans="1:16" s="20" customFormat="1" ht="15" customHeight="1" outlineLevel="5" x14ac:dyDescent="0.2">
      <c r="A194" s="34" t="s">
        <v>92</v>
      </c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">
        <v>3500</v>
      </c>
      <c r="P194" s="4">
        <v>9800</v>
      </c>
    </row>
    <row r="195" spans="1:16" s="2" customFormat="1" ht="15" customHeight="1" outlineLevel="5" x14ac:dyDescent="0.2">
      <c r="A195" s="34" t="s">
        <v>133</v>
      </c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">
        <v>4500</v>
      </c>
      <c r="P195" s="4">
        <v>14625</v>
      </c>
    </row>
    <row r="196" spans="1:16" s="2" customFormat="1" ht="15" customHeight="1" x14ac:dyDescent="0.2">
      <c r="A196" s="33" t="s">
        <v>145</v>
      </c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9">
        <v>10</v>
      </c>
      <c r="P196" s="8">
        <v>1896.6</v>
      </c>
    </row>
    <row r="197" spans="1:16" s="2" customFormat="1" ht="15" customHeight="1" outlineLevel="4" x14ac:dyDescent="0.2">
      <c r="A197" s="39" t="s">
        <v>26</v>
      </c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5">
        <v>10</v>
      </c>
      <c r="P197" s="4">
        <v>1896.6</v>
      </c>
    </row>
    <row r="198" spans="1:16" s="2" customFormat="1" ht="15" customHeight="1" x14ac:dyDescent="0.2">
      <c r="A198" s="33" t="s">
        <v>146</v>
      </c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9">
        <v>5</v>
      </c>
      <c r="P198" s="10">
        <v>948.3</v>
      </c>
    </row>
    <row r="199" spans="1:16" s="2" customFormat="1" ht="15" customHeight="1" outlineLevel="4" x14ac:dyDescent="0.2">
      <c r="A199" s="39" t="s">
        <v>26</v>
      </c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5">
        <v>5</v>
      </c>
      <c r="P199" s="6">
        <v>948.3</v>
      </c>
    </row>
    <row r="200" spans="1:16" s="2" customFormat="1" ht="15" customHeight="1" x14ac:dyDescent="0.2">
      <c r="A200" s="33" t="s">
        <v>147</v>
      </c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7">
        <v>17000</v>
      </c>
      <c r="P200" s="8">
        <v>40250</v>
      </c>
    </row>
    <row r="201" spans="1:16" s="2" customFormat="1" ht="15" customHeight="1" outlineLevel="5" x14ac:dyDescent="0.2">
      <c r="A201" s="34" t="s">
        <v>12</v>
      </c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">
        <v>10000</v>
      </c>
      <c r="P201" s="4">
        <v>17500</v>
      </c>
    </row>
    <row r="202" spans="1:16" s="2" customFormat="1" ht="15" customHeight="1" outlineLevel="5" x14ac:dyDescent="0.2">
      <c r="A202" s="34" t="s">
        <v>106</v>
      </c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">
        <v>7000</v>
      </c>
      <c r="P202" s="4">
        <v>22750</v>
      </c>
    </row>
    <row r="203" spans="1:16" s="2" customFormat="1" ht="15" customHeight="1" x14ac:dyDescent="0.2">
      <c r="A203" s="33" t="s">
        <v>148</v>
      </c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7">
        <v>3100</v>
      </c>
      <c r="P203" s="8">
        <v>11326</v>
      </c>
    </row>
    <row r="204" spans="1:16" s="2" customFormat="1" ht="15" customHeight="1" outlineLevel="5" x14ac:dyDescent="0.2">
      <c r="A204" s="34" t="s">
        <v>149</v>
      </c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">
        <v>1000</v>
      </c>
      <c r="P204" s="4">
        <v>5530</v>
      </c>
    </row>
    <row r="205" spans="1:16" s="2" customFormat="1" ht="15" customHeight="1" outlineLevel="5" x14ac:dyDescent="0.2">
      <c r="A205" s="34" t="s">
        <v>142</v>
      </c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">
        <v>2100</v>
      </c>
      <c r="P205" s="4">
        <v>5796</v>
      </c>
    </row>
    <row r="206" spans="1:16" s="2" customFormat="1" ht="15" customHeight="1" x14ac:dyDescent="0.2">
      <c r="A206" s="33" t="s">
        <v>150</v>
      </c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7">
        <v>6950</v>
      </c>
      <c r="P206" s="8">
        <v>63995</v>
      </c>
    </row>
    <row r="207" spans="1:16" s="2" customFormat="1" ht="15" customHeight="1" outlineLevel="5" x14ac:dyDescent="0.2">
      <c r="A207" s="34" t="s">
        <v>151</v>
      </c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">
        <v>4000</v>
      </c>
      <c r="P207" s="4">
        <v>15840</v>
      </c>
    </row>
    <row r="208" spans="1:16" s="2" customFormat="1" ht="15" customHeight="1" outlineLevel="5" x14ac:dyDescent="0.2">
      <c r="A208" s="34" t="s">
        <v>84</v>
      </c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">
        <v>1500</v>
      </c>
      <c r="P208" s="4">
        <v>10950</v>
      </c>
    </row>
    <row r="209" spans="1:16" s="2" customFormat="1" ht="15" customHeight="1" outlineLevel="5" x14ac:dyDescent="0.2">
      <c r="A209" s="45" t="s">
        <v>225</v>
      </c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3">
        <v>1000</v>
      </c>
      <c r="P209" s="4">
        <v>24690</v>
      </c>
    </row>
    <row r="210" spans="1:16" s="2" customFormat="1" ht="15" customHeight="1" outlineLevel="4" x14ac:dyDescent="0.2">
      <c r="A210" s="39" t="s">
        <v>46</v>
      </c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5">
        <v>400</v>
      </c>
      <c r="P210" s="4">
        <v>3572</v>
      </c>
    </row>
    <row r="211" spans="1:16" s="2" customFormat="1" ht="15" customHeight="1" outlineLevel="4" x14ac:dyDescent="0.2">
      <c r="A211" s="39" t="s">
        <v>26</v>
      </c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5">
        <v>50</v>
      </c>
      <c r="P211" s="4">
        <v>8943</v>
      </c>
    </row>
    <row r="212" spans="1:16" s="2" customFormat="1" ht="15" customHeight="1" x14ac:dyDescent="0.2">
      <c r="A212" s="33" t="s">
        <v>152</v>
      </c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7">
        <v>2000</v>
      </c>
      <c r="P212" s="8">
        <v>3320</v>
      </c>
    </row>
    <row r="213" spans="1:16" s="2" customFormat="1" ht="28.5" customHeight="1" outlineLevel="6" x14ac:dyDescent="0.2">
      <c r="A213" s="32" t="s">
        <v>31</v>
      </c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">
        <v>2000</v>
      </c>
      <c r="P213" s="4">
        <v>3320</v>
      </c>
    </row>
    <row r="214" spans="1:16" s="2" customFormat="1" ht="15" customHeight="1" x14ac:dyDescent="0.2">
      <c r="A214" s="33" t="s">
        <v>153</v>
      </c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7">
        <v>4500</v>
      </c>
      <c r="P214" s="8">
        <v>46520</v>
      </c>
    </row>
    <row r="215" spans="1:16" s="2" customFormat="1" ht="15" customHeight="1" outlineLevel="5" x14ac:dyDescent="0.2">
      <c r="A215" s="34" t="s">
        <v>154</v>
      </c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5">
        <v>500</v>
      </c>
      <c r="P215" s="4">
        <v>9610</v>
      </c>
    </row>
    <row r="216" spans="1:16" s="2" customFormat="1" ht="15" customHeight="1" outlineLevel="5" x14ac:dyDescent="0.2">
      <c r="A216" s="34" t="s">
        <v>155</v>
      </c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5">
        <v>500</v>
      </c>
      <c r="P216" s="4">
        <v>9610</v>
      </c>
    </row>
    <row r="217" spans="1:16" s="2" customFormat="1" ht="15" customHeight="1" outlineLevel="4" x14ac:dyDescent="0.2">
      <c r="A217" s="39" t="s">
        <v>45</v>
      </c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">
        <v>3500</v>
      </c>
      <c r="P217" s="4">
        <v>27300</v>
      </c>
    </row>
    <row r="218" spans="1:16" s="2" customFormat="1" ht="15" customHeight="1" x14ac:dyDescent="0.2">
      <c r="A218" s="33" t="s">
        <v>156</v>
      </c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9">
        <v>400</v>
      </c>
      <c r="P218" s="8">
        <v>3579</v>
      </c>
    </row>
    <row r="219" spans="1:16" s="2" customFormat="1" ht="15" customHeight="1" outlineLevel="4" x14ac:dyDescent="0.2">
      <c r="A219" s="39" t="s">
        <v>46</v>
      </c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5">
        <v>400</v>
      </c>
      <c r="P219" s="4">
        <v>3579</v>
      </c>
    </row>
    <row r="220" spans="1:16" s="2" customFormat="1" ht="15" customHeight="1" x14ac:dyDescent="0.2">
      <c r="A220" s="33" t="s">
        <v>157</v>
      </c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7">
        <v>15000</v>
      </c>
      <c r="P220" s="8">
        <v>61240</v>
      </c>
    </row>
    <row r="221" spans="1:16" s="2" customFormat="1" ht="15" customHeight="1" outlineLevel="5" x14ac:dyDescent="0.2">
      <c r="A221" s="34" t="s">
        <v>158</v>
      </c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">
        <v>1675</v>
      </c>
      <c r="P221" s="4">
        <v>7822.25</v>
      </c>
    </row>
    <row r="222" spans="1:16" s="2" customFormat="1" ht="15" customHeight="1" outlineLevel="5" x14ac:dyDescent="0.2">
      <c r="A222" s="34" t="s">
        <v>159</v>
      </c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">
        <v>3325</v>
      </c>
      <c r="P222" s="4">
        <v>15527.75</v>
      </c>
    </row>
    <row r="223" spans="1:16" s="2" customFormat="1" ht="15" customHeight="1" outlineLevel="5" x14ac:dyDescent="0.2">
      <c r="A223" s="34" t="s">
        <v>160</v>
      </c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">
        <v>5000</v>
      </c>
      <c r="P223" s="4">
        <v>23350</v>
      </c>
    </row>
    <row r="224" spans="1:16" s="2" customFormat="1" ht="15" customHeight="1" outlineLevel="5" x14ac:dyDescent="0.2">
      <c r="A224" s="34" t="s">
        <v>161</v>
      </c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">
        <v>1000</v>
      </c>
      <c r="P224" s="4">
        <v>3220</v>
      </c>
    </row>
    <row r="225" spans="1:16" s="2" customFormat="1" ht="15" customHeight="1" outlineLevel="5" x14ac:dyDescent="0.2">
      <c r="A225" s="34" t="s">
        <v>162</v>
      </c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">
        <v>1000</v>
      </c>
      <c r="P225" s="4">
        <v>3220</v>
      </c>
    </row>
    <row r="226" spans="1:16" s="2" customFormat="1" ht="15" customHeight="1" outlineLevel="5" x14ac:dyDescent="0.2">
      <c r="A226" s="34" t="s">
        <v>163</v>
      </c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">
        <v>2000</v>
      </c>
      <c r="P226" s="4">
        <v>5400</v>
      </c>
    </row>
    <row r="227" spans="1:16" s="2" customFormat="1" ht="15" customHeight="1" outlineLevel="5" x14ac:dyDescent="0.2">
      <c r="A227" s="34" t="s">
        <v>144</v>
      </c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">
        <v>1000</v>
      </c>
      <c r="P227" s="4">
        <v>2700</v>
      </c>
    </row>
    <row r="228" spans="1:16" s="2" customFormat="1" ht="15" customHeight="1" x14ac:dyDescent="0.2">
      <c r="A228" s="33" t="s">
        <v>164</v>
      </c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7">
        <v>2000</v>
      </c>
      <c r="P228" s="8">
        <v>3320</v>
      </c>
    </row>
    <row r="229" spans="1:16" s="2" customFormat="1" ht="15" outlineLevel="6" x14ac:dyDescent="0.2">
      <c r="A229" s="32" t="s">
        <v>165</v>
      </c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">
        <v>2000</v>
      </c>
      <c r="P229" s="4">
        <v>3320</v>
      </c>
    </row>
    <row r="230" spans="1:16" s="2" customFormat="1" ht="15" customHeight="1" x14ac:dyDescent="0.2">
      <c r="A230" s="33" t="s">
        <v>166</v>
      </c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9">
        <v>300</v>
      </c>
      <c r="P230" s="8">
        <v>1170</v>
      </c>
    </row>
    <row r="231" spans="1:16" s="2" customFormat="1" ht="15" customHeight="1" outlineLevel="5" x14ac:dyDescent="0.2">
      <c r="A231" s="34" t="s">
        <v>16</v>
      </c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5">
        <v>300</v>
      </c>
      <c r="P231" s="4">
        <v>1170</v>
      </c>
    </row>
    <row r="232" spans="1:16" s="2" customFormat="1" ht="15" customHeight="1" x14ac:dyDescent="0.2">
      <c r="A232" s="33" t="s">
        <v>167</v>
      </c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7">
        <v>14750</v>
      </c>
      <c r="P232" s="8">
        <v>100592.5</v>
      </c>
    </row>
    <row r="233" spans="1:16" s="2" customFormat="1" ht="15" customHeight="1" outlineLevel="5" x14ac:dyDescent="0.2">
      <c r="A233" s="34" t="s">
        <v>168</v>
      </c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">
        <v>1000</v>
      </c>
      <c r="P233" s="4">
        <v>14910</v>
      </c>
    </row>
    <row r="234" spans="1:16" s="2" customFormat="1" ht="15" customHeight="1" outlineLevel="5" x14ac:dyDescent="0.2">
      <c r="A234" s="34" t="s">
        <v>169</v>
      </c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">
        <v>3000</v>
      </c>
      <c r="P234" s="4">
        <v>10620</v>
      </c>
    </row>
    <row r="235" spans="1:16" s="2" customFormat="1" ht="15" customHeight="1" outlineLevel="5" x14ac:dyDescent="0.2">
      <c r="A235" s="34" t="s">
        <v>170</v>
      </c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">
        <v>1000</v>
      </c>
      <c r="P235" s="4">
        <v>15410</v>
      </c>
    </row>
    <row r="236" spans="1:16" s="2" customFormat="1" ht="15" customHeight="1" outlineLevel="5" x14ac:dyDescent="0.2">
      <c r="A236" s="34" t="s">
        <v>171</v>
      </c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">
        <v>1000</v>
      </c>
      <c r="P236" s="4">
        <v>5200</v>
      </c>
    </row>
    <row r="237" spans="1:16" s="2" customFormat="1" ht="15" customHeight="1" outlineLevel="5" x14ac:dyDescent="0.2">
      <c r="A237" s="34" t="s">
        <v>172</v>
      </c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">
        <v>2000</v>
      </c>
      <c r="P237" s="4">
        <v>7100</v>
      </c>
    </row>
    <row r="238" spans="1:16" s="2" customFormat="1" ht="15" customHeight="1" outlineLevel="5" x14ac:dyDescent="0.2">
      <c r="A238" s="34" t="s">
        <v>173</v>
      </c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">
        <v>2000</v>
      </c>
      <c r="P238" s="4">
        <v>7100</v>
      </c>
    </row>
    <row r="239" spans="1:16" s="16" customFormat="1" ht="15" customHeight="1" outlineLevel="4" x14ac:dyDescent="0.2">
      <c r="A239" s="46" t="s">
        <v>45</v>
      </c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14">
        <v>4000</v>
      </c>
      <c r="P239" s="15">
        <v>31200</v>
      </c>
    </row>
    <row r="240" spans="1:16" s="16" customFormat="1" ht="15" customHeight="1" outlineLevel="4" x14ac:dyDescent="0.2">
      <c r="A240" s="46" t="s">
        <v>46</v>
      </c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14">
        <v>250</v>
      </c>
      <c r="P240" s="15">
        <v>2257.5</v>
      </c>
    </row>
    <row r="241" spans="1:16" s="16" customFormat="1" ht="15" customHeight="1" outlineLevel="5" x14ac:dyDescent="0.2">
      <c r="A241" s="44" t="s">
        <v>39</v>
      </c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17">
        <v>500</v>
      </c>
      <c r="P241" s="15">
        <v>6795</v>
      </c>
    </row>
    <row r="242" spans="1:16" ht="15" customHeight="1" x14ac:dyDescent="0.2">
      <c r="A242" s="33" t="s">
        <v>174</v>
      </c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9">
        <v>500</v>
      </c>
      <c r="P242" s="8">
        <v>4500</v>
      </c>
    </row>
    <row r="243" spans="1:16" s="2" customFormat="1" ht="15" customHeight="1" outlineLevel="4" x14ac:dyDescent="0.2">
      <c r="A243" s="39" t="s">
        <v>46</v>
      </c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5">
        <v>500</v>
      </c>
      <c r="P243" s="4">
        <v>4500</v>
      </c>
    </row>
    <row r="244" spans="1:16" s="2" customFormat="1" ht="15" customHeight="1" x14ac:dyDescent="0.2">
      <c r="A244" s="33" t="s">
        <v>175</v>
      </c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7">
        <v>6250</v>
      </c>
      <c r="P244" s="8">
        <v>27273</v>
      </c>
    </row>
    <row r="245" spans="1:16" s="2" customFormat="1" ht="15" customHeight="1" outlineLevel="5" x14ac:dyDescent="0.2">
      <c r="A245" s="34" t="s">
        <v>89</v>
      </c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">
        <v>3000</v>
      </c>
      <c r="P245" s="4">
        <v>5250</v>
      </c>
    </row>
    <row r="246" spans="1:16" s="2" customFormat="1" ht="15" customHeight="1" outlineLevel="5" x14ac:dyDescent="0.2">
      <c r="A246" s="34" t="s">
        <v>176</v>
      </c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">
        <v>3000</v>
      </c>
      <c r="P246" s="4">
        <v>10350</v>
      </c>
    </row>
    <row r="247" spans="1:16" s="2" customFormat="1" ht="15" customHeight="1" outlineLevel="4" x14ac:dyDescent="0.2">
      <c r="A247" s="39" t="s">
        <v>26</v>
      </c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5">
        <v>50</v>
      </c>
      <c r="P247" s="4">
        <v>8943</v>
      </c>
    </row>
    <row r="248" spans="1:16" s="2" customFormat="1" ht="15" customHeight="1" outlineLevel="5" x14ac:dyDescent="0.2">
      <c r="A248" s="34" t="s">
        <v>39</v>
      </c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5">
        <v>200</v>
      </c>
      <c r="P248" s="4">
        <v>2730</v>
      </c>
    </row>
    <row r="249" spans="1:16" s="2" customFormat="1" ht="15" customHeight="1" x14ac:dyDescent="0.2">
      <c r="A249" s="33" t="s">
        <v>177</v>
      </c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9">
        <v>300</v>
      </c>
      <c r="P249" s="8">
        <v>2700</v>
      </c>
    </row>
    <row r="250" spans="1:16" s="2" customFormat="1" ht="15" customHeight="1" outlineLevel="4" x14ac:dyDescent="0.2">
      <c r="A250" s="39" t="s">
        <v>46</v>
      </c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5">
        <v>300</v>
      </c>
      <c r="P250" s="4">
        <v>2700</v>
      </c>
    </row>
    <row r="251" spans="1:16" s="2" customFormat="1" ht="15" customHeight="1" x14ac:dyDescent="0.2">
      <c r="A251" s="33" t="s">
        <v>178</v>
      </c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7">
        <v>20500</v>
      </c>
      <c r="P251" s="8">
        <v>97045</v>
      </c>
    </row>
    <row r="252" spans="1:16" s="2" customFormat="1" ht="15" customHeight="1" outlineLevel="5" x14ac:dyDescent="0.2">
      <c r="A252" s="34" t="s">
        <v>179</v>
      </c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">
        <v>7000</v>
      </c>
      <c r="P252" s="4">
        <v>39200</v>
      </c>
    </row>
    <row r="253" spans="1:16" s="2" customFormat="1" ht="15" customHeight="1" outlineLevel="5" x14ac:dyDescent="0.2">
      <c r="A253" s="34" t="s">
        <v>180</v>
      </c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">
        <v>1000</v>
      </c>
      <c r="P253" s="4">
        <v>2920</v>
      </c>
    </row>
    <row r="254" spans="1:16" s="2" customFormat="1" ht="15" customHeight="1" outlineLevel="5" x14ac:dyDescent="0.2">
      <c r="A254" s="34" t="s">
        <v>106</v>
      </c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">
        <v>10000</v>
      </c>
      <c r="P254" s="4">
        <v>32500</v>
      </c>
    </row>
    <row r="255" spans="1:16" s="2" customFormat="1" ht="15" customHeight="1" outlineLevel="4" x14ac:dyDescent="0.2">
      <c r="A255" s="39" t="s">
        <v>45</v>
      </c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">
        <v>2000</v>
      </c>
      <c r="P255" s="4">
        <v>15600</v>
      </c>
    </row>
    <row r="256" spans="1:16" s="2" customFormat="1" ht="15" customHeight="1" outlineLevel="5" x14ac:dyDescent="0.2">
      <c r="A256" s="34" t="s">
        <v>39</v>
      </c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5">
        <v>500</v>
      </c>
      <c r="P256" s="4">
        <v>6825</v>
      </c>
    </row>
    <row r="257" spans="1:16" s="2" customFormat="1" ht="15" customHeight="1" x14ac:dyDescent="0.2">
      <c r="A257" s="33" t="s">
        <v>181</v>
      </c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9">
        <v>5</v>
      </c>
      <c r="P257" s="10">
        <v>948.3</v>
      </c>
    </row>
    <row r="258" spans="1:16" s="2" customFormat="1" ht="15" customHeight="1" outlineLevel="4" x14ac:dyDescent="0.2">
      <c r="A258" s="39" t="s">
        <v>26</v>
      </c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5">
        <v>5</v>
      </c>
      <c r="P258" s="6">
        <v>948.3</v>
      </c>
    </row>
    <row r="259" spans="1:16" s="2" customFormat="1" ht="15" customHeight="1" x14ac:dyDescent="0.2">
      <c r="A259" s="33" t="s">
        <v>182</v>
      </c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7">
        <v>2105</v>
      </c>
      <c r="P259" s="8">
        <v>7515.3</v>
      </c>
    </row>
    <row r="260" spans="1:16" s="2" customFormat="1" ht="15" customHeight="1" outlineLevel="5" x14ac:dyDescent="0.2">
      <c r="A260" s="34" t="s">
        <v>183</v>
      </c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">
        <v>1800</v>
      </c>
      <c r="P260" s="4">
        <v>5364</v>
      </c>
    </row>
    <row r="261" spans="1:16" s="2" customFormat="1" ht="15" customHeight="1" outlineLevel="4" x14ac:dyDescent="0.2">
      <c r="A261" s="39" t="s">
        <v>26</v>
      </c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5">
        <v>5</v>
      </c>
      <c r="P261" s="6">
        <v>948.3</v>
      </c>
    </row>
    <row r="262" spans="1:16" s="2" customFormat="1" ht="15" customHeight="1" outlineLevel="5" x14ac:dyDescent="0.2">
      <c r="A262" s="34" t="s">
        <v>16</v>
      </c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5">
        <v>300</v>
      </c>
      <c r="P262" s="4">
        <v>1203</v>
      </c>
    </row>
    <row r="263" spans="1:16" s="11" customFormat="1" ht="15" customHeight="1" x14ac:dyDescent="0.2">
      <c r="A263" s="33" t="s">
        <v>184</v>
      </c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7">
        <v>17900</v>
      </c>
      <c r="P263" s="8">
        <v>223968</v>
      </c>
    </row>
    <row r="264" spans="1:16" s="2" customFormat="1" ht="15" customHeight="1" outlineLevel="5" x14ac:dyDescent="0.2">
      <c r="A264" s="34" t="s">
        <v>185</v>
      </c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">
        <v>2000</v>
      </c>
      <c r="P264" s="4">
        <v>32660</v>
      </c>
    </row>
    <row r="265" spans="1:16" s="2" customFormat="1" ht="15" customHeight="1" outlineLevel="5" x14ac:dyDescent="0.2">
      <c r="A265" s="34" t="s">
        <v>186</v>
      </c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">
        <v>6000</v>
      </c>
      <c r="P265" s="4">
        <v>82500</v>
      </c>
    </row>
    <row r="266" spans="1:16" s="2" customFormat="1" ht="15" customHeight="1" outlineLevel="5" x14ac:dyDescent="0.2">
      <c r="A266" s="34" t="s">
        <v>187</v>
      </c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">
        <v>5000</v>
      </c>
      <c r="P266" s="4">
        <v>68750</v>
      </c>
    </row>
    <row r="267" spans="1:16" s="2" customFormat="1" ht="15" customHeight="1" outlineLevel="5" x14ac:dyDescent="0.2">
      <c r="A267" s="34" t="s">
        <v>84</v>
      </c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">
        <v>4000</v>
      </c>
      <c r="P267" s="4">
        <v>29200</v>
      </c>
    </row>
    <row r="268" spans="1:16" s="2" customFormat="1" ht="15" customHeight="1" outlineLevel="4" x14ac:dyDescent="0.2">
      <c r="A268" s="39" t="s">
        <v>46</v>
      </c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5">
        <v>500</v>
      </c>
      <c r="P268" s="4">
        <v>4530</v>
      </c>
    </row>
    <row r="269" spans="1:16" s="2" customFormat="1" ht="15" customHeight="1" outlineLevel="4" x14ac:dyDescent="0.2">
      <c r="A269" s="39" t="s">
        <v>188</v>
      </c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5">
        <v>400</v>
      </c>
      <c r="P269" s="4">
        <v>6328</v>
      </c>
    </row>
    <row r="270" spans="1:16" ht="15" customHeight="1" x14ac:dyDescent="0.2">
      <c r="A270" s="33" t="s">
        <v>226</v>
      </c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9">
        <v>250</v>
      </c>
      <c r="P270" s="8">
        <v>44715</v>
      </c>
    </row>
    <row r="271" spans="1:16" s="12" customFormat="1" ht="15" customHeight="1" outlineLevel="4" x14ac:dyDescent="0.2">
      <c r="A271" s="39" t="s">
        <v>26</v>
      </c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5">
        <v>250</v>
      </c>
      <c r="P271" s="4">
        <v>44715</v>
      </c>
    </row>
    <row r="272" spans="1:16" s="12" customFormat="1" ht="15" customHeight="1" x14ac:dyDescent="0.2">
      <c r="A272" s="33" t="s">
        <v>189</v>
      </c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7">
        <v>2100</v>
      </c>
      <c r="P272" s="8">
        <v>15760</v>
      </c>
    </row>
    <row r="273" spans="1:16" s="12" customFormat="1" ht="15" customHeight="1" outlineLevel="5" x14ac:dyDescent="0.2">
      <c r="A273" s="34" t="s">
        <v>190</v>
      </c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5">
        <v>500</v>
      </c>
      <c r="P273" s="4">
        <v>2025</v>
      </c>
    </row>
    <row r="274" spans="1:16" s="12" customFormat="1" ht="15" customHeight="1" outlineLevel="5" x14ac:dyDescent="0.2">
      <c r="A274" s="34" t="s">
        <v>191</v>
      </c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5">
        <v>400</v>
      </c>
      <c r="P274" s="4">
        <v>7660</v>
      </c>
    </row>
    <row r="275" spans="1:16" s="12" customFormat="1" ht="15" customHeight="1" outlineLevel="5" x14ac:dyDescent="0.2">
      <c r="A275" s="34" t="s">
        <v>192</v>
      </c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5">
        <v>750</v>
      </c>
      <c r="P275" s="4">
        <v>2565</v>
      </c>
    </row>
    <row r="276" spans="1:16" s="12" customFormat="1" ht="15" customHeight="1" outlineLevel="4" x14ac:dyDescent="0.2">
      <c r="A276" s="39" t="s">
        <v>45</v>
      </c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5">
        <v>450</v>
      </c>
      <c r="P276" s="4">
        <v>3510</v>
      </c>
    </row>
    <row r="277" spans="1:16" s="12" customFormat="1" ht="15" customHeight="1" x14ac:dyDescent="0.2">
      <c r="A277" s="33" t="s">
        <v>193</v>
      </c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9">
        <v>600</v>
      </c>
      <c r="P277" s="8">
        <v>4380</v>
      </c>
    </row>
    <row r="278" spans="1:16" s="12" customFormat="1" ht="15" customHeight="1" outlineLevel="5" x14ac:dyDescent="0.2">
      <c r="A278" s="34" t="s">
        <v>84</v>
      </c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5">
        <v>600</v>
      </c>
      <c r="P278" s="4">
        <v>4380</v>
      </c>
    </row>
    <row r="279" spans="1:16" s="12" customFormat="1" ht="15" customHeight="1" x14ac:dyDescent="0.2">
      <c r="A279" s="33" t="s">
        <v>194</v>
      </c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7">
        <v>27000</v>
      </c>
      <c r="P279" s="8">
        <v>275880</v>
      </c>
    </row>
    <row r="280" spans="1:16" s="12" customFormat="1" ht="16.5" customHeight="1" outlineLevel="5" x14ac:dyDescent="0.2">
      <c r="A280" s="34" t="s">
        <v>195</v>
      </c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">
        <v>5000</v>
      </c>
      <c r="P280" s="4">
        <v>168500</v>
      </c>
    </row>
    <row r="281" spans="1:16" s="12" customFormat="1" ht="15" customHeight="1" outlineLevel="5" x14ac:dyDescent="0.2">
      <c r="A281" s="34" t="s">
        <v>16</v>
      </c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">
        <v>20000</v>
      </c>
      <c r="P281" s="4">
        <v>80200</v>
      </c>
    </row>
    <row r="282" spans="1:16" s="12" customFormat="1" ht="15" customHeight="1" outlineLevel="5" x14ac:dyDescent="0.2">
      <c r="A282" s="34" t="s">
        <v>39</v>
      </c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">
        <v>2000</v>
      </c>
      <c r="P282" s="4">
        <v>27180</v>
      </c>
    </row>
    <row r="283" spans="1:16" s="13" customFormat="1" ht="15" customHeight="1" x14ac:dyDescent="0.2">
      <c r="A283" s="33" t="s">
        <v>196</v>
      </c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7">
        <v>51200</v>
      </c>
      <c r="P283" s="8">
        <v>151450</v>
      </c>
    </row>
    <row r="284" spans="1:16" s="12" customFormat="1" ht="15" customHeight="1" outlineLevel="5" x14ac:dyDescent="0.2">
      <c r="A284" s="34" t="s">
        <v>197</v>
      </c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">
        <v>1300</v>
      </c>
      <c r="P284" s="4">
        <v>8671</v>
      </c>
    </row>
    <row r="285" spans="1:16" s="12" customFormat="1" ht="15" customHeight="1" outlineLevel="5" x14ac:dyDescent="0.2">
      <c r="A285" s="34" t="s">
        <v>198</v>
      </c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">
        <v>3000</v>
      </c>
      <c r="P285" s="4">
        <v>7860</v>
      </c>
    </row>
    <row r="286" spans="1:16" s="12" customFormat="1" ht="15" customHeight="1" outlineLevel="5" x14ac:dyDescent="0.2">
      <c r="A286" s="34" t="s">
        <v>199</v>
      </c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">
        <v>4000</v>
      </c>
      <c r="P286" s="4">
        <v>9320</v>
      </c>
    </row>
    <row r="287" spans="1:16" s="12" customFormat="1" ht="15" customHeight="1" outlineLevel="5" x14ac:dyDescent="0.2">
      <c r="A287" s="34" t="s">
        <v>200</v>
      </c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">
        <v>1500</v>
      </c>
      <c r="P287" s="4">
        <v>3495</v>
      </c>
    </row>
    <row r="288" spans="1:16" s="20" customFormat="1" ht="15" customHeight="1" outlineLevel="5" x14ac:dyDescent="0.2">
      <c r="A288" s="34" t="s">
        <v>69</v>
      </c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">
        <v>9400</v>
      </c>
      <c r="P288" s="4">
        <v>25944</v>
      </c>
    </row>
    <row r="289" spans="1:16" s="12" customFormat="1" ht="15" customHeight="1" outlineLevel="5" x14ac:dyDescent="0.2">
      <c r="A289" s="34" t="s">
        <v>201</v>
      </c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">
        <v>10000</v>
      </c>
      <c r="P289" s="4">
        <v>21400</v>
      </c>
    </row>
    <row r="290" spans="1:16" s="12" customFormat="1" ht="15" customHeight="1" outlineLevel="5" x14ac:dyDescent="0.2">
      <c r="A290" s="34" t="s">
        <v>104</v>
      </c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">
        <v>1475</v>
      </c>
      <c r="P290" s="4">
        <v>3156.5</v>
      </c>
    </row>
    <row r="291" spans="1:16" s="12" customFormat="1" ht="15" customHeight="1" outlineLevel="5" x14ac:dyDescent="0.2">
      <c r="A291" s="34" t="s">
        <v>62</v>
      </c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">
        <v>2525</v>
      </c>
      <c r="P291" s="4">
        <v>5403.5</v>
      </c>
    </row>
    <row r="292" spans="1:16" s="12" customFormat="1" ht="15" customHeight="1" outlineLevel="5" x14ac:dyDescent="0.2">
      <c r="A292" s="34" t="s">
        <v>63</v>
      </c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">
        <v>10750</v>
      </c>
      <c r="P292" s="4">
        <v>23005</v>
      </c>
    </row>
    <row r="293" spans="1:16" s="12" customFormat="1" ht="15" customHeight="1" outlineLevel="5" x14ac:dyDescent="0.2">
      <c r="A293" s="34" t="s">
        <v>14</v>
      </c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">
        <v>3250</v>
      </c>
      <c r="P293" s="4">
        <v>6955</v>
      </c>
    </row>
    <row r="294" spans="1:16" s="12" customFormat="1" ht="15" customHeight="1" outlineLevel="4" x14ac:dyDescent="0.2">
      <c r="A294" s="39" t="s">
        <v>46</v>
      </c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">
        <v>4000</v>
      </c>
      <c r="P294" s="4">
        <v>36240</v>
      </c>
    </row>
    <row r="295" spans="1:16" s="13" customFormat="1" ht="15" customHeight="1" x14ac:dyDescent="0.2">
      <c r="A295" s="33" t="s">
        <v>202</v>
      </c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7">
        <v>7000</v>
      </c>
      <c r="P295" s="8">
        <v>35300</v>
      </c>
    </row>
    <row r="296" spans="1:16" s="12" customFormat="1" ht="15" customHeight="1" outlineLevel="5" x14ac:dyDescent="0.2">
      <c r="A296" s="34" t="s">
        <v>203</v>
      </c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">
        <v>5000</v>
      </c>
      <c r="P296" s="4">
        <v>16300</v>
      </c>
    </row>
    <row r="297" spans="1:16" s="12" customFormat="1" ht="15" customHeight="1" outlineLevel="5" x14ac:dyDescent="0.2">
      <c r="A297" s="34" t="s">
        <v>204</v>
      </c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">
        <v>2000</v>
      </c>
      <c r="P297" s="4">
        <v>19000</v>
      </c>
    </row>
    <row r="298" spans="1:16" s="13" customFormat="1" ht="15" customHeight="1" x14ac:dyDescent="0.2">
      <c r="A298" s="33" t="s">
        <v>205</v>
      </c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9">
        <v>50</v>
      </c>
      <c r="P298" s="8">
        <v>8943</v>
      </c>
    </row>
    <row r="299" spans="1:16" s="12" customFormat="1" ht="15" customHeight="1" outlineLevel="4" x14ac:dyDescent="0.2">
      <c r="A299" s="39" t="s">
        <v>26</v>
      </c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5">
        <v>50</v>
      </c>
      <c r="P299" s="4">
        <v>8943</v>
      </c>
    </row>
    <row r="300" spans="1:16" s="12" customFormat="1" ht="15" customHeight="1" x14ac:dyDescent="0.2">
      <c r="A300" s="33" t="s">
        <v>206</v>
      </c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7">
        <v>7500</v>
      </c>
      <c r="P300" s="8">
        <v>15300</v>
      </c>
    </row>
    <row r="301" spans="1:16" s="12" customFormat="1" ht="31.5" customHeight="1" outlineLevel="6" x14ac:dyDescent="0.2">
      <c r="A301" s="32" t="s">
        <v>30</v>
      </c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">
        <v>5000</v>
      </c>
      <c r="P301" s="4">
        <v>8000</v>
      </c>
    </row>
    <row r="302" spans="1:16" s="12" customFormat="1" ht="15" customHeight="1" outlineLevel="5" x14ac:dyDescent="0.2">
      <c r="A302" s="34" t="s">
        <v>207</v>
      </c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">
        <v>2500</v>
      </c>
      <c r="P302" s="4">
        <v>7300</v>
      </c>
    </row>
    <row r="303" spans="1:16" s="12" customFormat="1" ht="15" customHeight="1" x14ac:dyDescent="0.2">
      <c r="A303" s="33" t="s">
        <v>208</v>
      </c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7">
        <v>10950</v>
      </c>
      <c r="P303" s="8">
        <v>17520</v>
      </c>
    </row>
    <row r="304" spans="1:16" s="12" customFormat="1" ht="29.25" customHeight="1" outlineLevel="6" x14ac:dyDescent="0.2">
      <c r="A304" s="32" t="s">
        <v>30</v>
      </c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">
        <v>7950</v>
      </c>
      <c r="P304" s="4">
        <v>12720</v>
      </c>
    </row>
    <row r="305" spans="1:16" s="12" customFormat="1" ht="33.75" customHeight="1" outlineLevel="6" x14ac:dyDescent="0.2">
      <c r="A305" s="32" t="s">
        <v>77</v>
      </c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">
        <v>3000</v>
      </c>
      <c r="P305" s="4">
        <v>4800</v>
      </c>
    </row>
    <row r="306" spans="1:16" s="12" customFormat="1" ht="15" customHeight="1" x14ac:dyDescent="0.2">
      <c r="A306" s="33" t="s">
        <v>209</v>
      </c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7">
        <v>3100</v>
      </c>
      <c r="P306" s="8">
        <v>28937</v>
      </c>
    </row>
    <row r="307" spans="1:16" s="12" customFormat="1" ht="15" customHeight="1" outlineLevel="5" x14ac:dyDescent="0.2">
      <c r="A307" s="34" t="s">
        <v>84</v>
      </c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">
        <v>1500</v>
      </c>
      <c r="P307" s="4">
        <v>10425</v>
      </c>
    </row>
    <row r="308" spans="1:16" s="12" customFormat="1" ht="15" customHeight="1" outlineLevel="5" x14ac:dyDescent="0.2">
      <c r="A308" s="34" t="s">
        <v>210</v>
      </c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">
        <v>1600</v>
      </c>
      <c r="P308" s="4">
        <v>18512</v>
      </c>
    </row>
    <row r="309" spans="1:16" s="12" customFormat="1" ht="15" customHeight="1" x14ac:dyDescent="0.2">
      <c r="A309" s="33" t="s">
        <v>211</v>
      </c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7">
        <v>38650</v>
      </c>
      <c r="P309" s="8">
        <v>136550.5</v>
      </c>
    </row>
    <row r="310" spans="1:16" s="12" customFormat="1" ht="15" customHeight="1" outlineLevel="5" x14ac:dyDescent="0.2">
      <c r="A310" s="34" t="s">
        <v>212</v>
      </c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">
        <v>5000</v>
      </c>
      <c r="P310" s="4">
        <v>25250</v>
      </c>
    </row>
    <row r="311" spans="1:16" s="12" customFormat="1" ht="15" customHeight="1" outlineLevel="5" x14ac:dyDescent="0.2">
      <c r="A311" s="34" t="s">
        <v>213</v>
      </c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5">
        <v>750</v>
      </c>
      <c r="P311" s="4">
        <v>2437.5</v>
      </c>
    </row>
    <row r="312" spans="1:16" s="12" customFormat="1" ht="15" customHeight="1" outlineLevel="5" x14ac:dyDescent="0.2">
      <c r="A312" s="34" t="s">
        <v>134</v>
      </c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">
        <v>29575</v>
      </c>
      <c r="P312" s="4">
        <v>78078</v>
      </c>
    </row>
    <row r="313" spans="1:16" s="12" customFormat="1" ht="15" customHeight="1" outlineLevel="5" x14ac:dyDescent="0.2">
      <c r="A313" s="34" t="s">
        <v>106</v>
      </c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5">
        <v>425</v>
      </c>
      <c r="P313" s="4">
        <v>1122</v>
      </c>
    </row>
    <row r="314" spans="1:16" s="12" customFormat="1" ht="15" customHeight="1" outlineLevel="5" x14ac:dyDescent="0.2">
      <c r="A314" s="34" t="s">
        <v>210</v>
      </c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">
        <v>2000</v>
      </c>
      <c r="P314" s="4">
        <v>19740</v>
      </c>
    </row>
    <row r="315" spans="1:16" s="12" customFormat="1" ht="15" customHeight="1" outlineLevel="5" x14ac:dyDescent="0.2">
      <c r="A315" s="34" t="s">
        <v>136</v>
      </c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5">
        <v>500</v>
      </c>
      <c r="P315" s="4">
        <v>4935</v>
      </c>
    </row>
    <row r="316" spans="1:16" s="12" customFormat="1" ht="15" customHeight="1" outlineLevel="4" x14ac:dyDescent="0.2">
      <c r="A316" s="39" t="s">
        <v>46</v>
      </c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5">
        <v>100</v>
      </c>
      <c r="P316" s="6">
        <v>893</v>
      </c>
    </row>
    <row r="317" spans="1:16" s="12" customFormat="1" ht="15" customHeight="1" outlineLevel="5" x14ac:dyDescent="0.2">
      <c r="A317" s="34" t="s">
        <v>39</v>
      </c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5">
        <v>300</v>
      </c>
      <c r="P317" s="4">
        <v>4095</v>
      </c>
    </row>
  </sheetData>
  <mergeCells count="320">
    <mergeCell ref="A309:N309"/>
    <mergeCell ref="A310:N310"/>
    <mergeCell ref="A311:N311"/>
    <mergeCell ref="A312:N312"/>
    <mergeCell ref="A313:N313"/>
    <mergeCell ref="A317:N317"/>
    <mergeCell ref="A314:N314"/>
    <mergeCell ref="A315:N315"/>
    <mergeCell ref="A316:N316"/>
    <mergeCell ref="A300:N300"/>
    <mergeCell ref="A301:N301"/>
    <mergeCell ref="A302:N302"/>
    <mergeCell ref="A303:N303"/>
    <mergeCell ref="A304:N304"/>
    <mergeCell ref="A305:N305"/>
    <mergeCell ref="A306:N306"/>
    <mergeCell ref="A307:N307"/>
    <mergeCell ref="A308:N308"/>
    <mergeCell ref="A291:N291"/>
    <mergeCell ref="A292:N292"/>
    <mergeCell ref="A293:N293"/>
    <mergeCell ref="A294:N294"/>
    <mergeCell ref="A295:N295"/>
    <mergeCell ref="A296:N296"/>
    <mergeCell ref="A297:N297"/>
    <mergeCell ref="A298:N298"/>
    <mergeCell ref="A299:N299"/>
    <mergeCell ref="A282:N282"/>
    <mergeCell ref="A283:N283"/>
    <mergeCell ref="A284:N284"/>
    <mergeCell ref="A285:N285"/>
    <mergeCell ref="A286:N286"/>
    <mergeCell ref="A287:N287"/>
    <mergeCell ref="A288:N288"/>
    <mergeCell ref="A289:N289"/>
    <mergeCell ref="A290:N290"/>
    <mergeCell ref="A276:N276"/>
    <mergeCell ref="A277:N277"/>
    <mergeCell ref="A275:N275"/>
    <mergeCell ref="A273:N273"/>
    <mergeCell ref="A274:N274"/>
    <mergeCell ref="A278:N278"/>
    <mergeCell ref="A279:N279"/>
    <mergeCell ref="A280:N280"/>
    <mergeCell ref="A281:N281"/>
    <mergeCell ref="A270:N270"/>
    <mergeCell ref="A271:N271"/>
    <mergeCell ref="A272:N272"/>
    <mergeCell ref="A268:N268"/>
    <mergeCell ref="A269:N269"/>
    <mergeCell ref="A265:N265"/>
    <mergeCell ref="A266:N266"/>
    <mergeCell ref="A267:N267"/>
    <mergeCell ref="A263:N263"/>
    <mergeCell ref="A264:N264"/>
    <mergeCell ref="A261:N261"/>
    <mergeCell ref="A262:N262"/>
    <mergeCell ref="A260:N260"/>
    <mergeCell ref="A258:N258"/>
    <mergeCell ref="A259:N259"/>
    <mergeCell ref="A256:N256"/>
    <mergeCell ref="A257:N257"/>
    <mergeCell ref="A249:N249"/>
    <mergeCell ref="A250:N250"/>
    <mergeCell ref="A251:N251"/>
    <mergeCell ref="A252:N252"/>
    <mergeCell ref="A253:N253"/>
    <mergeCell ref="A254:N254"/>
    <mergeCell ref="A255:N255"/>
    <mergeCell ref="A241:N241"/>
    <mergeCell ref="A242:N242"/>
    <mergeCell ref="A243:N243"/>
    <mergeCell ref="A244:N244"/>
    <mergeCell ref="A245:N245"/>
    <mergeCell ref="A246:N246"/>
    <mergeCell ref="A247:N247"/>
    <mergeCell ref="A248:N248"/>
    <mergeCell ref="A237:N237"/>
    <mergeCell ref="A238:N238"/>
    <mergeCell ref="A239:N239"/>
    <mergeCell ref="A240:N240"/>
    <mergeCell ref="A222:N222"/>
    <mergeCell ref="A223:N223"/>
    <mergeCell ref="A233:N233"/>
    <mergeCell ref="A234:N234"/>
    <mergeCell ref="A235:N235"/>
    <mergeCell ref="A236:N236"/>
    <mergeCell ref="A224:N224"/>
    <mergeCell ref="A225:N225"/>
    <mergeCell ref="A226:N226"/>
    <mergeCell ref="A227:N227"/>
    <mergeCell ref="A228:N228"/>
    <mergeCell ref="A229:N229"/>
    <mergeCell ref="A230:N230"/>
    <mergeCell ref="A231:N231"/>
    <mergeCell ref="A232:N232"/>
    <mergeCell ref="A214:N214"/>
    <mergeCell ref="A209:N209"/>
    <mergeCell ref="A215:N215"/>
    <mergeCell ref="A216:N216"/>
    <mergeCell ref="A217:N217"/>
    <mergeCell ref="A218:N218"/>
    <mergeCell ref="A219:N219"/>
    <mergeCell ref="A220:N220"/>
    <mergeCell ref="A221:N221"/>
    <mergeCell ref="A204:N204"/>
    <mergeCell ref="A205:N205"/>
    <mergeCell ref="A206:N206"/>
    <mergeCell ref="A207:N207"/>
    <mergeCell ref="A208:N208"/>
    <mergeCell ref="A210:N210"/>
    <mergeCell ref="A211:N211"/>
    <mergeCell ref="A212:N212"/>
    <mergeCell ref="A213:N213"/>
    <mergeCell ref="A195:N195"/>
    <mergeCell ref="A196:N196"/>
    <mergeCell ref="A197:N197"/>
    <mergeCell ref="A198:N198"/>
    <mergeCell ref="A199:N199"/>
    <mergeCell ref="A200:N200"/>
    <mergeCell ref="A201:N201"/>
    <mergeCell ref="A202:N202"/>
    <mergeCell ref="A203:N203"/>
    <mergeCell ref="A186:N186"/>
    <mergeCell ref="A187:N187"/>
    <mergeCell ref="A188:N188"/>
    <mergeCell ref="A189:N189"/>
    <mergeCell ref="A190:N190"/>
    <mergeCell ref="A191:N191"/>
    <mergeCell ref="A192:N192"/>
    <mergeCell ref="A193:N193"/>
    <mergeCell ref="A194:N194"/>
    <mergeCell ref="A177:N177"/>
    <mergeCell ref="A178:N178"/>
    <mergeCell ref="A179:N179"/>
    <mergeCell ref="A180:N180"/>
    <mergeCell ref="A183:N183"/>
    <mergeCell ref="A184:N184"/>
    <mergeCell ref="A185:N185"/>
    <mergeCell ref="A181:N181"/>
    <mergeCell ref="A182:N182"/>
    <mergeCell ref="A169:N169"/>
    <mergeCell ref="A166:N166"/>
    <mergeCell ref="A170:N170"/>
    <mergeCell ref="A171:N171"/>
    <mergeCell ref="A172:N172"/>
    <mergeCell ref="A173:N173"/>
    <mergeCell ref="A175:N175"/>
    <mergeCell ref="A176:N176"/>
    <mergeCell ref="A174:N174"/>
    <mergeCell ref="A159:N159"/>
    <mergeCell ref="A160:N160"/>
    <mergeCell ref="A163:N163"/>
    <mergeCell ref="A161:N161"/>
    <mergeCell ref="A162:N162"/>
    <mergeCell ref="A164:N164"/>
    <mergeCell ref="A165:N165"/>
    <mergeCell ref="A167:N167"/>
    <mergeCell ref="A168:N168"/>
    <mergeCell ref="A149:N149"/>
    <mergeCell ref="A155:N155"/>
    <mergeCell ref="A156:N156"/>
    <mergeCell ref="A150:N150"/>
    <mergeCell ref="A157:N157"/>
    <mergeCell ref="A158:N158"/>
    <mergeCell ref="A151:N151"/>
    <mergeCell ref="A152:N152"/>
    <mergeCell ref="A153:N153"/>
    <mergeCell ref="A154:N154"/>
    <mergeCell ref="A145:N145"/>
    <mergeCell ref="A143:N143"/>
    <mergeCell ref="A144:N144"/>
    <mergeCell ref="A140:N140"/>
    <mergeCell ref="A141:N141"/>
    <mergeCell ref="A142:N142"/>
    <mergeCell ref="A146:N146"/>
    <mergeCell ref="A147:N147"/>
    <mergeCell ref="A148:N148"/>
    <mergeCell ref="A137:N137"/>
    <mergeCell ref="A138:N138"/>
    <mergeCell ref="A139:N139"/>
    <mergeCell ref="A136:N136"/>
    <mergeCell ref="A133:N133"/>
    <mergeCell ref="A134:N134"/>
    <mergeCell ref="A135:N135"/>
    <mergeCell ref="A131:N131"/>
    <mergeCell ref="A132:N132"/>
    <mergeCell ref="A130:N130"/>
    <mergeCell ref="A124:N124"/>
    <mergeCell ref="A125:N125"/>
    <mergeCell ref="A126:N126"/>
    <mergeCell ref="A107:N107"/>
    <mergeCell ref="A108:N108"/>
    <mergeCell ref="A109:N109"/>
    <mergeCell ref="A110:N110"/>
    <mergeCell ref="A111:N111"/>
    <mergeCell ref="A112:N112"/>
    <mergeCell ref="A127:N127"/>
    <mergeCell ref="A128:N128"/>
    <mergeCell ref="A129:N129"/>
    <mergeCell ref="A113:N113"/>
    <mergeCell ref="A114:N114"/>
    <mergeCell ref="A115:N115"/>
    <mergeCell ref="A116:N116"/>
    <mergeCell ref="A117:N117"/>
    <mergeCell ref="A118:N118"/>
    <mergeCell ref="A119:N119"/>
    <mergeCell ref="A120:N120"/>
    <mergeCell ref="A121:N121"/>
    <mergeCell ref="A122:N122"/>
    <mergeCell ref="A123:N123"/>
    <mergeCell ref="A98:N98"/>
    <mergeCell ref="A99:N99"/>
    <mergeCell ref="A100:N100"/>
    <mergeCell ref="A101:N101"/>
    <mergeCell ref="A102:N102"/>
    <mergeCell ref="A103:N103"/>
    <mergeCell ref="A104:N104"/>
    <mergeCell ref="A105:N105"/>
    <mergeCell ref="A106:N106"/>
    <mergeCell ref="A80:N80"/>
    <mergeCell ref="A81:N81"/>
    <mergeCell ref="A82:N82"/>
    <mergeCell ref="A83:N83"/>
    <mergeCell ref="A77:N77"/>
    <mergeCell ref="A78:N78"/>
    <mergeCell ref="A79:N79"/>
    <mergeCell ref="A96:N96"/>
    <mergeCell ref="A97:N97"/>
    <mergeCell ref="A92:N92"/>
    <mergeCell ref="A93:N93"/>
    <mergeCell ref="A94:N94"/>
    <mergeCell ref="A95:N95"/>
    <mergeCell ref="A88:N88"/>
    <mergeCell ref="A89:N89"/>
    <mergeCell ref="A90:N90"/>
    <mergeCell ref="A91:N91"/>
    <mergeCell ref="A84:N84"/>
    <mergeCell ref="A85:N85"/>
    <mergeCell ref="A86:N86"/>
    <mergeCell ref="A87:N87"/>
    <mergeCell ref="A41:N41"/>
    <mergeCell ref="A42:N42"/>
    <mergeCell ref="A43:N43"/>
    <mergeCell ref="A34:N34"/>
    <mergeCell ref="A35:N35"/>
    <mergeCell ref="A74:N74"/>
    <mergeCell ref="A75:N75"/>
    <mergeCell ref="A76:N76"/>
    <mergeCell ref="A70:N70"/>
    <mergeCell ref="A71:N71"/>
    <mergeCell ref="A72:N72"/>
    <mergeCell ref="A73:N73"/>
    <mergeCell ref="A66:N66"/>
    <mergeCell ref="A67:N67"/>
    <mergeCell ref="A68:N68"/>
    <mergeCell ref="A69:N69"/>
    <mergeCell ref="A63:N63"/>
    <mergeCell ref="A64:N64"/>
    <mergeCell ref="A65:N65"/>
    <mergeCell ref="A60:N60"/>
    <mergeCell ref="A61:N61"/>
    <mergeCell ref="A62:N62"/>
    <mergeCell ref="A9:N9"/>
    <mergeCell ref="A10:N10"/>
    <mergeCell ref="A11:N11"/>
    <mergeCell ref="A56:N56"/>
    <mergeCell ref="A57:N57"/>
    <mergeCell ref="A58:N58"/>
    <mergeCell ref="A59:N59"/>
    <mergeCell ref="A54:N54"/>
    <mergeCell ref="A55:N55"/>
    <mergeCell ref="A51:N51"/>
    <mergeCell ref="A52:N52"/>
    <mergeCell ref="A53:N53"/>
    <mergeCell ref="A44:N44"/>
    <mergeCell ref="A45:N45"/>
    <mergeCell ref="A46:N46"/>
    <mergeCell ref="A47:N47"/>
    <mergeCell ref="A48:N48"/>
    <mergeCell ref="A49:N49"/>
    <mergeCell ref="A50:N50"/>
    <mergeCell ref="A36:N36"/>
    <mergeCell ref="A37:N37"/>
    <mergeCell ref="A38:N38"/>
    <mergeCell ref="A39:N39"/>
    <mergeCell ref="A40:N40"/>
    <mergeCell ref="P2:P5"/>
    <mergeCell ref="A3:N3"/>
    <mergeCell ref="A4:N4"/>
    <mergeCell ref="A5:E5"/>
    <mergeCell ref="F5:H5"/>
    <mergeCell ref="I5:K5"/>
    <mergeCell ref="A6:N6"/>
    <mergeCell ref="A7:N7"/>
    <mergeCell ref="A8:N8"/>
    <mergeCell ref="A30:N30"/>
    <mergeCell ref="A31:N31"/>
    <mergeCell ref="A32:N32"/>
    <mergeCell ref="A33:N33"/>
    <mergeCell ref="A27:N27"/>
    <mergeCell ref="A28:N28"/>
    <mergeCell ref="A29:N29"/>
    <mergeCell ref="A2:N2"/>
    <mergeCell ref="O2:O5"/>
    <mergeCell ref="A23:N23"/>
    <mergeCell ref="A24:N24"/>
    <mergeCell ref="A25:N25"/>
    <mergeCell ref="A26:N26"/>
    <mergeCell ref="A19:N19"/>
    <mergeCell ref="A20:N20"/>
    <mergeCell ref="A21:N21"/>
    <mergeCell ref="A22:N22"/>
    <mergeCell ref="A16:N16"/>
    <mergeCell ref="A17:N17"/>
    <mergeCell ref="A18:N18"/>
    <mergeCell ref="A12:N12"/>
    <mergeCell ref="A13:N13"/>
    <mergeCell ref="A14:N14"/>
    <mergeCell ref="A15:N15"/>
  </mergeCells>
  <pageMargins left="0.39370078740157483" right="0.39370078740157483" top="0.39370078740157483" bottom="0.39370078740157483" header="0" footer="0"/>
  <pageSetup paperSize="9" fitToHeight="0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2026-01-12T09:23:26Z</dcterms:created>
  <dcterms:modified xsi:type="dcterms:W3CDTF">2026-01-22T09:17:57Z</dcterms:modified>
</cp:coreProperties>
</file>