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БОТА С ФЛЕШКИ\флешка белая\ОТЧЕТЫ\5МАЙ26\"/>
    </mc:Choice>
  </mc:AlternateContent>
  <bookViews>
    <workbookView xWindow="0" yWindow="0" windowWidth="11400" windowHeight="5892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P106" i="1" l="1"/>
  <c r="O106" i="1" l="1"/>
  <c r="P6" i="1" l="1"/>
  <c r="T12" i="1"/>
  <c r="T6" i="1" s="1"/>
  <c r="T7" i="1"/>
  <c r="P154" i="1" l="1"/>
  <c r="O154" i="1"/>
  <c r="T29" i="1" l="1"/>
  <c r="T28" i="1" s="1"/>
  <c r="T32" i="1" s="1"/>
  <c r="T17" i="1" l="1"/>
  <c r="T27" i="1"/>
  <c r="O6" i="1" l="1"/>
  <c r="T21" i="1" l="1"/>
  <c r="T19" i="1"/>
  <c r="T16" i="1"/>
  <c r="T15" i="1"/>
  <c r="T14" i="1"/>
  <c r="T11" i="1" l="1"/>
  <c r="T9" i="1"/>
  <c r="T30" i="1" l="1"/>
</calcChain>
</file>

<file path=xl/sharedStrings.xml><?xml version="1.0" encoding="utf-8"?>
<sst xmlns="http://schemas.openxmlformats.org/spreadsheetml/2006/main" count="377" uniqueCount="249">
  <si>
    <t>Контрагент</t>
  </si>
  <si>
    <t>Количество</t>
  </si>
  <si>
    <t>Сумма реализации</t>
  </si>
  <si>
    <t>Группа</t>
  </si>
  <si>
    <t>Номенклатура</t>
  </si>
  <si>
    <t>Итого</t>
  </si>
  <si>
    <t>Авангард СДП</t>
  </si>
  <si>
    <t>ККК-603р       ДРГ 61-150-032 /03/2804</t>
  </si>
  <si>
    <t>ККК-604р       ДРГ 02-010-0411 /05/1303</t>
  </si>
  <si>
    <t>ККК-605р       ДРГ 01-010-0155 /05/2904</t>
  </si>
  <si>
    <t>Концентрат кормовой балансирующий "Оптифид баланс"       ДРГ 61-050-10610 /04/2804</t>
  </si>
  <si>
    <t>Агро-Колядичи ОАО</t>
  </si>
  <si>
    <t>Асид Баф</t>
  </si>
  <si>
    <t>Агро-Оберег ОАО</t>
  </si>
  <si>
    <t>ККК-603р       ДРГ 63-030-1849 /02/0605</t>
  </si>
  <si>
    <t>ККК-604р       ДРГ 02-030-046 /01/0605</t>
  </si>
  <si>
    <t>Агро-Фуд РТФ ООО</t>
  </si>
  <si>
    <t>Премикс Д-П60-3 для высокопродуктивных коров       ДРГ 63-020-204 /06/1105</t>
  </si>
  <si>
    <t>Премикс Д-ПКР-2 для молодняка КРС старше 3-х месяцев       ДРГ 02-050-0244 /04/1105</t>
  </si>
  <si>
    <t>Премикс Д-ПКР-2 для молодняка КРС старше 3-х месяцев       ДРГ 02-010-038 /05/1105</t>
  </si>
  <si>
    <t>АгроЛюкс ООО</t>
  </si>
  <si>
    <t>ККК-603р       ДРГ 63-010-868 /02/1805</t>
  </si>
  <si>
    <t>Алникорпродукт Вертелишки ЧПУП</t>
  </si>
  <si>
    <t>Клостат НС SP сухой</t>
  </si>
  <si>
    <t>Оптима 100</t>
  </si>
  <si>
    <t>Актисаф SC 47 STD</t>
  </si>
  <si>
    <t>ЛизиКапс</t>
  </si>
  <si>
    <t>КемТРЕЙС пропионат хрома 0,4% сухой</t>
  </si>
  <si>
    <t>Батчи ОАО</t>
  </si>
  <si>
    <t>Бегомльское ОАО</t>
  </si>
  <si>
    <t>ККК-603р       ДРГ 63-160-0171 /03/1103</t>
  </si>
  <si>
    <t>ККК-604р       ДРГ 02-030-046 /12/2605</t>
  </si>
  <si>
    <t>БелИнтерГен-агро ООО</t>
  </si>
  <si>
    <t>Комбикорм-концентрат для телят в возрасте до 3 месяцев стартерный " Кальвостарт"       01100088-002 /01/2304</t>
  </si>
  <si>
    <t>ККК-603р       ДРГ 63-010-8543 /01/2804</t>
  </si>
  <si>
    <t>Беловежский  ОАО</t>
  </si>
  <si>
    <t>ККК-603р       ДРГ 63-300-0063 /09/2904</t>
  </si>
  <si>
    <t>Алкерфид Антитокс</t>
  </si>
  <si>
    <t>НутриКАБ</t>
  </si>
  <si>
    <t>Белоруснефть-Гроднооблнефтепродукт РУП</t>
  </si>
  <si>
    <t>Белпромприбор ЗАО</t>
  </si>
  <si>
    <t>ККК-603р       ДРГ 63-030-1646 /04/1405</t>
  </si>
  <si>
    <t>ККК-604р       ДРГ 02-030-044 /05/1405</t>
  </si>
  <si>
    <t>Березовский ККЗ ОАО</t>
  </si>
  <si>
    <t>БНБК ЗАО</t>
  </si>
  <si>
    <t>ХолиДЖЕМ</t>
  </si>
  <si>
    <t>Валище ОАО</t>
  </si>
  <si>
    <t>Волковысское РСКУП</t>
  </si>
  <si>
    <t>Токсфин сухой</t>
  </si>
  <si>
    <t>Воронецкий КСУП (СПК им.Воронецкого)</t>
  </si>
  <si>
    <t>ККК-603р       ДРГ 63-020-1777 /04/2705</t>
  </si>
  <si>
    <t>Концентрат кормовой балансирующий "Оптифид баланс"       ДРГ 61-100-1532 /10/2904</t>
  </si>
  <si>
    <t>Концентрат кормовой энергетический "Аминолак"       ДРГ 61-100-0701 /09/2605</t>
  </si>
  <si>
    <t>Восходящая заря СПК</t>
  </si>
  <si>
    <t>ККК-604р       ДРГ 02-025-0433 /06/1505</t>
  </si>
  <si>
    <t>Гарантагровест ООО</t>
  </si>
  <si>
    <t>ККК-603р       ДРГ 63-070-034 /03/1505</t>
  </si>
  <si>
    <t>Гольшаны КСУП</t>
  </si>
  <si>
    <t>ККК-603р       ДРГ 61-100-0812 /07/2005</t>
  </si>
  <si>
    <t>ККК-603р       ДРГ 61-150-0274 /02/2105</t>
  </si>
  <si>
    <t>ККК-603р       ДРГ 63-010-8159 /01/2105</t>
  </si>
  <si>
    <t>ККК-603р       ДРГ 63-050-033 /07/2004</t>
  </si>
  <si>
    <t>ККК-603р       ДРГ 63-050-033 /08/2005</t>
  </si>
  <si>
    <t>ККК-604р       ДРГ 02-010-0515 /09/2005</t>
  </si>
  <si>
    <t>ККК-605г       01500137-003 /01/1604</t>
  </si>
  <si>
    <t>Городилово ОАО</t>
  </si>
  <si>
    <t>ККК-603р       ДРГ 61-150-0311 /08/2304</t>
  </si>
  <si>
    <t>ККК-603р       ДРГ 61-150-033 /03/2105</t>
  </si>
  <si>
    <t>Грушево-МИЛК Сельскохозяйственное унитарное предприятие</t>
  </si>
  <si>
    <t>Гудевичи ЗАО</t>
  </si>
  <si>
    <t>ККК-603р       ДРГ 61-150-1451 /02/0705</t>
  </si>
  <si>
    <t>ККК-603р       ДРГ 63-020-1777 /04/0505</t>
  </si>
  <si>
    <t>ККК-603р       ДРГ 63-070-028 /05/0505</t>
  </si>
  <si>
    <t>ККК-603р       ДРГ 63-100-0452 /01/0705</t>
  </si>
  <si>
    <t>ККК-603р       ДРГ 63-160-01741 /04/2005</t>
  </si>
  <si>
    <t>ККК-604р       ДРГ 02-010-0525 /06/0505</t>
  </si>
  <si>
    <t>Дрогичин Агро ФХ</t>
  </si>
  <si>
    <t>ККК-603р       ДРГ 63-010-8158 /03/2705</t>
  </si>
  <si>
    <t>Журавлиное ОАО</t>
  </si>
  <si>
    <t>Западный СГЦ ОАО</t>
  </si>
  <si>
    <t>ЗубрАгро ТОО</t>
  </si>
  <si>
    <t>Комбикорм-концентрат для телят в возрасте до 3 месяцев стартерный " Кальвостарт"       01100089-001 /11/2405</t>
  </si>
  <si>
    <t>ИП Гром Н.Н.</t>
  </si>
  <si>
    <t>Комбикорм-концентрат для телят в возрасте до 3 месяцев стартерный " Кальвостарт"       01100088-002 /02/0804</t>
  </si>
  <si>
    <t>Комбикорм-концентрат для телят в возрасте до 3 месяцев стартерный " Кальвостарт"       01100088-002 /10/1905</t>
  </si>
  <si>
    <t>Козловичи-Агро ОАО</t>
  </si>
  <si>
    <t>ККК-603р       63010911-002 /04/1505</t>
  </si>
  <si>
    <t>Сафволл</t>
  </si>
  <si>
    <t>Кессент Me</t>
  </si>
  <si>
    <t>КормВетАгро ООО</t>
  </si>
  <si>
    <t>Комбикорм-концентрат для телят в возрасте до 3 месяцев стартерный " Кальвостарт"       01100087-004 /09/1905</t>
  </si>
  <si>
    <t>ККК-603р       ДРГ 63-010-8154 /02/2402</t>
  </si>
  <si>
    <t>Кормикс ЧП</t>
  </si>
  <si>
    <t>ККК-603р       ДРГ 63-100-021 /05/0904</t>
  </si>
  <si>
    <t>ККК-604р       ДРГ 02-025-0434 /10/0805</t>
  </si>
  <si>
    <t>Краснодворцы ОАО</t>
  </si>
  <si>
    <t>ККК-603р       ДРГ 63-010-8188 /07/0505</t>
  </si>
  <si>
    <t>Красный пищевик-АгроСервис ОАО  Пищевик-Агро Филиал</t>
  </si>
  <si>
    <t>ККК-603р       ДРГ 63-020-1758 /04/2404</t>
  </si>
  <si>
    <t>ККК-603р       ДРГ 63-070-0268 /05/2404</t>
  </si>
  <si>
    <t>ККК-603р       ДРГ 63-300-0053 /06/2404</t>
  </si>
  <si>
    <t>ККК-604р       ДРГ 02-010-0524 /11/2304</t>
  </si>
  <si>
    <t>Концентрат кормовой балансирующий "Оптифид баланс"       ДРГ 61-100-1532 /10/0505</t>
  </si>
  <si>
    <t>КронаИнвест ООО</t>
  </si>
  <si>
    <t>Лань-Несвиж ОАО</t>
  </si>
  <si>
    <t>МилкАгро УП</t>
  </si>
  <si>
    <t>Несвижские Островки ОАО</t>
  </si>
  <si>
    <t>ККК-603р       ДРГ 63-010-8625 /08/2404</t>
  </si>
  <si>
    <t>Новая жизнь ОАО</t>
  </si>
  <si>
    <t>НОУ-ТИЛЛ Органик ООО</t>
  </si>
  <si>
    <t>Озеры СПК Гродненская обл.</t>
  </si>
  <si>
    <t>Ополь-Агро ОАО</t>
  </si>
  <si>
    <t>Осовецкий СПК</t>
  </si>
  <si>
    <t>ККК-603р       ДРГ 63-010-8615 /08/0505</t>
  </si>
  <si>
    <t>ККК-604р       ДРГ 02-010-0514 /09/0505</t>
  </si>
  <si>
    <t>Отечество-Агро ОАО</t>
  </si>
  <si>
    <t>Пинский КХП ОАО</t>
  </si>
  <si>
    <t>ПК им. Кремко</t>
  </si>
  <si>
    <t>ККК-603р       ДРГ 63-020-1822 /02/1505</t>
  </si>
  <si>
    <t>ККК-603р       ДРГ 63-050-0464 /06/1405</t>
  </si>
  <si>
    <t>ККК-603р       ДРГ 63-070-0304 /04/1505</t>
  </si>
  <si>
    <t>Полесская нива ОАО</t>
  </si>
  <si>
    <t>ККК-604р       ДРГ 02-010-0525 /01/1405</t>
  </si>
  <si>
    <t>Полесье-Агроинвест СУП</t>
  </si>
  <si>
    <t>Птицефабрика Рассвет ОАО</t>
  </si>
  <si>
    <t>Радонежское ОАО</t>
  </si>
  <si>
    <t>ККК-604р       ДРГ 02-030-046 /02/2804</t>
  </si>
  <si>
    <t>Райагросервис Пружанский ОАО</t>
  </si>
  <si>
    <t>Рогознянский ОАО Жабинковский</t>
  </si>
  <si>
    <t>ККК-604р       ДРГ 02-010-0524 /03/0505</t>
  </si>
  <si>
    <t>Савушкин - Луч СУП</t>
  </si>
  <si>
    <t>ККК-603р       ДРГ 63-050-04210 /03/2605</t>
  </si>
  <si>
    <t>ККК-603р       ДРГ 63-050-0429 /01/0505</t>
  </si>
  <si>
    <t>ККК-603р       ДРГ 63-050-0429 /03/1105</t>
  </si>
  <si>
    <t>Савушкина  пуща ОАО</t>
  </si>
  <si>
    <t>Свитязянка-2003 СПК</t>
  </si>
  <si>
    <t>ККК-603р       ДРГ 63-030-1855 /03/1805</t>
  </si>
  <si>
    <t>ККК-603р       ДРГ 63-100-0452 /04/1805</t>
  </si>
  <si>
    <t>Снитово-Агро ОАО</t>
  </si>
  <si>
    <t>Снов Агрокомбинат СПК</t>
  </si>
  <si>
    <t>Совхоз Доброволец  УКСХП</t>
  </si>
  <si>
    <t>Телеханы-агро ОАО</t>
  </si>
  <si>
    <t>Тышковичи-Агро ОАО</t>
  </si>
  <si>
    <t>ККК-603р       ДРГ 63-300-0091 /05/1505</t>
  </si>
  <si>
    <t>Федорский СПК</t>
  </si>
  <si>
    <t>Шапчицы-Агро ООО</t>
  </si>
  <si>
    <t>Шени-агропродукт ОАО</t>
  </si>
  <si>
    <t>ККК-603р       ДРГ 63-300-0091 /02/0505</t>
  </si>
  <si>
    <t>Концентрат кормовой энергетический "Аминолак"       ДРГ 61-100-075 /01/2205</t>
  </si>
  <si>
    <t>ЭффектИнвест ОАО</t>
  </si>
  <si>
    <t>ККК-603р       ДРГ 63-010-7946 /09/2304</t>
  </si>
  <si>
    <t>ККК-603р       ДРГ 63-300-007 /04/2304</t>
  </si>
  <si>
    <t>Концентрат кормовой балансирующий "Оптифид баланс"       ДРГ 61-100-1512 /01/1105</t>
  </si>
  <si>
    <t>Концентрат кормовой балансирующий "Оптифид баланс"       ДРГ 61-100-1512 /01/2504</t>
  </si>
  <si>
    <t>Концентрат кормовой балансирующий "Оптифид баланс"       ДРГ 61-100-1512 /10/2404</t>
  </si>
  <si>
    <t>Концентрат кормовой энергетический "Аминолак"       ДРГ 61-100-074 /02/2304</t>
  </si>
  <si>
    <t>ЯхимовщинаАгро ООО</t>
  </si>
  <si>
    <t>Дрогичин</t>
  </si>
  <si>
    <t>ККК</t>
  </si>
  <si>
    <t>Премиксы</t>
  </si>
  <si>
    <t>Оптифид 10%</t>
  </si>
  <si>
    <t>Оптифид 5%</t>
  </si>
  <si>
    <t>Аминолак</t>
  </si>
  <si>
    <t xml:space="preserve">Здоровая печень </t>
  </si>
  <si>
    <t>КемТРЕЙС</t>
  </si>
  <si>
    <t>Консулагро</t>
  </si>
  <si>
    <t>605г</t>
  </si>
  <si>
    <t>Кальвостарт</t>
  </si>
  <si>
    <t>Мумиксы</t>
  </si>
  <si>
    <t>Премикс "МуМикс юниор"   ДРГ 02-050-108 /08/2105</t>
  </si>
  <si>
    <t>Премикс "МуМикс премиум"   ДРГ 63-010-0174 /09/2105</t>
  </si>
  <si>
    <t>Премикс "МуМикс сухостой"    ДРГ 63-100-0181 /11/2105</t>
  </si>
  <si>
    <t>Премикс "МуМикс транзит"   ДРГ 63-100-022 /10/2105</t>
  </si>
  <si>
    <t xml:space="preserve">                            Концентрат кормовой профилактический "Здоровая печень"   63-025-0275</t>
  </si>
  <si>
    <t>ОАО "Барановичхлебопродукт"</t>
  </si>
  <si>
    <t xml:space="preserve">Барановичская птицефабрика </t>
  </si>
  <si>
    <t>ККК-603р       ДРГ 63-160-200 /03/2504</t>
  </si>
  <si>
    <t>АГРОВЕТГАРАНТ</t>
  </si>
  <si>
    <t>Василишки</t>
  </si>
  <si>
    <t>ККК-603р       ДРГ 63-300-200 /03/2205</t>
  </si>
  <si>
    <t>Доброселецкий с/х филиал КУП "Гроднооблдорстрой"</t>
  </si>
  <si>
    <t xml:space="preserve">                            ККК-603р       ДРГ 63-020-211 /02/2605</t>
  </si>
  <si>
    <t xml:space="preserve">                            ККК-603р       ДРГ 61-150-210/02/2205</t>
  </si>
  <si>
    <t>Доманово СПУ УП "Брестоблгаз"</t>
  </si>
  <si>
    <t xml:space="preserve">                            Концентрат кормовой профилактический "Здоровая печень"   ДРГ 63-025-200/03/1405</t>
  </si>
  <si>
    <t>СПК им. Деньщикова</t>
  </si>
  <si>
    <t>АФТАБ</t>
  </si>
  <si>
    <t>Остромечево</t>
  </si>
  <si>
    <t>Агро-сад Рассвет</t>
  </si>
  <si>
    <t xml:space="preserve">                            ККК-603р       ДРГ 61-100-210 /02/2904</t>
  </si>
  <si>
    <t xml:space="preserve">                            Концентрат кормовой энергетический "Аминолак"   ДРГ 61-100-220 /08/2605</t>
  </si>
  <si>
    <t>ККК-603р       ДРГ 63-300-200 /01/1505</t>
  </si>
  <si>
    <t>ККК-603р       ДРГ 63-300-200 /01/2904</t>
  </si>
  <si>
    <t>ККК-604р       ДРГ 02-030-200 /08/1004</t>
  </si>
  <si>
    <t>Чернавчицы</t>
  </si>
  <si>
    <t>Агро-Детковичи</t>
  </si>
  <si>
    <t xml:space="preserve">Маньковичи </t>
  </si>
  <si>
    <t>Агро-Пелище</t>
  </si>
  <si>
    <t>Рубельский</t>
  </si>
  <si>
    <t>Маньковичи</t>
  </si>
  <si>
    <t>Лядецкий</t>
  </si>
  <si>
    <t>Концентрат кормовой энергетический "Аминолак"   ДРГ 61-100-220 /04/0805</t>
  </si>
  <si>
    <t>Коссово</t>
  </si>
  <si>
    <t xml:space="preserve">Агро-Пелище </t>
  </si>
  <si>
    <t>ККК-603р       ДРГ 63-300-200 /05/0805</t>
  </si>
  <si>
    <t xml:space="preserve">                            ККК-603р       ДРГ 63-010-210 /01/2605</t>
  </si>
  <si>
    <t xml:space="preserve">                            ККК-603р       ДРГ 63-010-240 /06/2605</t>
  </si>
  <si>
    <t xml:space="preserve">                            ККК-603р       ДРГ 63-010-8154 /02/2402</t>
  </si>
  <si>
    <t xml:space="preserve">                            ККК-603р       ДРГ 63-020-220 /07/2605</t>
  </si>
  <si>
    <t xml:space="preserve">                            ККК-603р       ДРГ 63-030-200 /05/2605</t>
  </si>
  <si>
    <t xml:space="preserve">                            ККК-603р       ДРГ 63-030-210 /04/2904</t>
  </si>
  <si>
    <t xml:space="preserve">                            ККК-603р       ДРГ 63-050-200 /02/1405</t>
  </si>
  <si>
    <t xml:space="preserve">                            ККК-603р       ДРГ 63-050-200 /04/2605</t>
  </si>
  <si>
    <t xml:space="preserve">                            ККК-603р      ДРГ 63-050-200 /05/1004</t>
  </si>
  <si>
    <t xml:space="preserve">                                ККК-605р       ДРГ 01-050-200 /07/1505</t>
  </si>
  <si>
    <t xml:space="preserve">                                ККК-605р       ДРГ 01-050-210 /03/1905</t>
  </si>
  <si>
    <t xml:space="preserve">                                ККК-605г 01500138-200 /31/2004</t>
  </si>
  <si>
    <t>Концентрат кормовой энергетический "Аминолак"   ДРГ  61-100-410 /01/1704</t>
  </si>
  <si>
    <t>Бакуново</t>
  </si>
  <si>
    <t>АгроСолы</t>
  </si>
  <si>
    <t>ККК-603р       ДРГ 63-020-420 /02/0805</t>
  </si>
  <si>
    <t>Концентрат кормовой энергетический "Аминолак"   ДРГ 61-100-400 /09/0805</t>
  </si>
  <si>
    <t>ККК-603р        ДРГ 63-010-400 /07/0705</t>
  </si>
  <si>
    <t>Рачковичи</t>
  </si>
  <si>
    <t>Чучевичи</t>
  </si>
  <si>
    <t>Концентрат кормовой балансирующий "Оптифид баланс"   ДРГ 61-080-410/06/0705</t>
  </si>
  <si>
    <t>Концентрат кормовой балансирующий "Оптифид баланс"   ДРГ 61-080-410/03/0704</t>
  </si>
  <si>
    <t>ККК-603р       ДРГ 63-070-400 /03/0805</t>
  </si>
  <si>
    <t>Путришки</t>
  </si>
  <si>
    <t>ККК-603р       ДРГ 63-160-410/ 07/0805</t>
  </si>
  <si>
    <t xml:space="preserve">Натальевск </t>
  </si>
  <si>
    <t>ККК-603р       ДРГ 63-160-410 /01/2005</t>
  </si>
  <si>
    <t>Жодишки</t>
  </si>
  <si>
    <t>Концентрат кормовой энергетический "Аминолак"   ДРГ 61-100-400 /02/1905</t>
  </si>
  <si>
    <t>ККК-603р      ДРГ 63-300-400/01/0805</t>
  </si>
  <si>
    <t>ККК-603р       ДРГ 63-020-410/06/0805</t>
  </si>
  <si>
    <t>ККК-603р       ДРГ 63-300-400 /05/1703</t>
  </si>
  <si>
    <t>ККК-603р      ДРГ 63-300-400 /07/2105</t>
  </si>
  <si>
    <t>Синкевичский</t>
  </si>
  <si>
    <t>Межлесское</t>
  </si>
  <si>
    <t>Старобинский</t>
  </si>
  <si>
    <t>Юлиан</t>
  </si>
  <si>
    <t xml:space="preserve">Красный партизан </t>
  </si>
  <si>
    <t>Вендорож филиал Могилевэнерго РУП</t>
  </si>
  <si>
    <t>КарнЕон 20 РУМИН-ПРО</t>
  </si>
  <si>
    <t>Концентрат кормовой балансирующий "Оптифид баланс"   ДРГ 61-100-1532 /06/2105</t>
  </si>
  <si>
    <t>Оптифид 8%</t>
  </si>
  <si>
    <t>Селсаф 3000</t>
  </si>
  <si>
    <t xml:space="preserve">                                 ККК-603р       ДРГ 63-070-400 /06/0704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</si>
</sst>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8"/>
      <name val="Arial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1" fontId="4" fillId="0" borderId="0" xfId="0" applyNumberFormat="1" applyFont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3" fontId="3" fillId="2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2" fontId="3" fillId="2" borderId="1" xfId="0" applyNumberFormat="1" applyFont="1" applyFill="1" applyBorder="1" applyAlignment="1">
      <alignment horizontal="right" vertical="top"/>
    </xf>
    <xf numFmtId="3" fontId="0" fillId="0" borderId="0" xfId="0" applyNumberFormat="1"/>
    <xf numFmtId="0" fontId="6" fillId="0" borderId="0" xfId="0" applyFont="1"/>
    <xf numFmtId="3" fontId="6" fillId="0" borderId="0" xfId="0" applyNumberFormat="1" applyFont="1"/>
    <xf numFmtId="3" fontId="4" fillId="0" borderId="0" xfId="0" applyNumberFormat="1" applyFont="1" applyFill="1" applyAlignment="1">
      <alignment horizontal="right" vertical="top"/>
    </xf>
    <xf numFmtId="4" fontId="4" fillId="0" borderId="0" xfId="0" applyNumberFormat="1" applyFont="1" applyFill="1" applyAlignment="1">
      <alignment horizontal="right" vertical="top"/>
    </xf>
    <xf numFmtId="3" fontId="3" fillId="0" borderId="1" xfId="0" applyNumberFormat="1" applyFont="1" applyFill="1" applyBorder="1" applyAlignment="1">
      <alignment horizontal="right" vertical="top"/>
    </xf>
    <xf numFmtId="4" fontId="3" fillId="0" borderId="1" xfId="0" applyNumberFormat="1" applyFont="1" applyFill="1" applyBorder="1" applyAlignment="1">
      <alignment horizontal="right" vertical="top"/>
    </xf>
    <xf numFmtId="3" fontId="7" fillId="0" borderId="0" xfId="0" applyNumberFormat="1" applyFont="1"/>
    <xf numFmtId="0" fontId="8" fillId="0" borderId="0" xfId="0" applyFont="1"/>
    <xf numFmtId="1" fontId="0" fillId="0" borderId="0" xfId="0" applyNumberFormat="1"/>
    <xf numFmtId="0" fontId="2" fillId="0" borderId="1" xfId="0" applyFont="1" applyBorder="1" applyAlignment="1">
      <alignment horizontal="left" vertical="top" wrapText="1"/>
    </xf>
    <xf numFmtId="3" fontId="3" fillId="3" borderId="1" xfId="0" applyNumberFormat="1" applyFont="1" applyFill="1" applyBorder="1" applyAlignment="1">
      <alignment horizontal="right" vertical="top"/>
    </xf>
    <xf numFmtId="0" fontId="1" fillId="0" borderId="0" xfId="0" applyFont="1" applyFill="1"/>
    <xf numFmtId="1" fontId="4" fillId="0" borderId="0" xfId="0" applyNumberFormat="1" applyFont="1" applyFill="1" applyAlignment="1">
      <alignment horizontal="right" vertical="top"/>
    </xf>
    <xf numFmtId="2" fontId="4" fillId="0" borderId="0" xfId="0" applyNumberFormat="1" applyFont="1" applyFill="1" applyAlignment="1">
      <alignment horizontal="right" vertical="top"/>
    </xf>
    <xf numFmtId="0" fontId="7" fillId="0" borderId="0" xfId="0" applyFont="1"/>
    <xf numFmtId="4" fontId="3" fillId="3" borderId="1" xfId="0" applyNumberFormat="1" applyFont="1" applyFill="1" applyBorder="1" applyAlignment="1">
      <alignment horizontal="right" vertical="top"/>
    </xf>
    <xf numFmtId="0" fontId="4" fillId="0" borderId="0" xfId="0" applyFont="1" applyFill="1" applyAlignment="1">
      <alignment horizontal="left" vertical="top" wrapText="1" indent="10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 indent="10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5" fillId="3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 wrapText="1" indent="8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12"/>
    </xf>
    <xf numFmtId="0" fontId="4" fillId="0" borderId="0" xfId="0" applyFont="1" applyFill="1" applyAlignment="1">
      <alignment horizontal="left" vertical="top" wrapText="1" indent="8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T311"/>
  <sheetViews>
    <sheetView tabSelected="1" zoomScale="80" zoomScaleNormal="80" workbookViewId="0">
      <selection activeCell="S4" sqref="S4"/>
    </sheetView>
  </sheetViews>
  <sheetFormatPr defaultColWidth="10.42578125" defaultRowHeight="11.4" customHeight="1" outlineLevelRow="6" x14ac:dyDescent="0.2"/>
  <cols>
    <col min="1" max="1" width="5.7109375" style="2" customWidth="1"/>
    <col min="2" max="2" width="3.28515625" style="2" customWidth="1"/>
    <col min="3" max="3" width="1.42578125" style="2" customWidth="1"/>
    <col min="4" max="4" width="13.85546875" style="2" customWidth="1"/>
    <col min="5" max="5" width="16.85546875" style="2" customWidth="1"/>
    <col min="6" max="6" width="1.85546875" style="2" customWidth="1"/>
    <col min="7" max="7" width="18.7109375" style="2" customWidth="1"/>
    <col min="8" max="8" width="8.7109375" style="2" customWidth="1"/>
    <col min="9" max="9" width="8.85546875" style="2" customWidth="1"/>
    <col min="10" max="10" width="1.28515625" style="2" customWidth="1"/>
    <col min="11" max="11" width="37.85546875" style="2" customWidth="1"/>
    <col min="12" max="12" width="14.7109375" style="2" customWidth="1"/>
    <col min="13" max="13" width="6.85546875" style="2" customWidth="1"/>
    <col min="14" max="14" width="5.42578125" style="2" customWidth="1"/>
    <col min="15" max="15" width="14.140625" style="2" customWidth="1"/>
    <col min="16" max="16" width="15.140625" style="2" customWidth="1"/>
    <col min="19" max="19" width="26" customWidth="1"/>
  </cols>
  <sheetData>
    <row r="1" spans="1:20" s="1" customFormat="1" ht="10.050000000000001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0" ht="13.05" customHeight="1" x14ac:dyDescent="0.2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5" t="s">
        <v>1</v>
      </c>
      <c r="P2" s="35" t="s">
        <v>2</v>
      </c>
    </row>
    <row r="3" spans="1:20" ht="13.05" customHeight="1" x14ac:dyDescent="0.2">
      <c r="A3" s="34" t="s">
        <v>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6"/>
      <c r="P3" s="36"/>
    </row>
    <row r="4" spans="1:20" ht="13.05" customHeight="1" x14ac:dyDescent="0.2">
      <c r="A4" s="34" t="s">
        <v>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6"/>
      <c r="P4" s="36"/>
    </row>
    <row r="5" spans="1:20" ht="13.2" x14ac:dyDescent="0.2">
      <c r="A5" s="34"/>
      <c r="B5" s="34"/>
      <c r="C5" s="34"/>
      <c r="D5" s="34"/>
      <c r="E5" s="34"/>
      <c r="F5" s="38"/>
      <c r="G5" s="38"/>
      <c r="H5" s="38"/>
      <c r="I5" s="34"/>
      <c r="J5" s="34"/>
      <c r="K5" s="34"/>
      <c r="L5" s="21"/>
      <c r="M5" s="21"/>
      <c r="N5" s="21"/>
      <c r="O5" s="37"/>
      <c r="P5" s="37"/>
    </row>
    <row r="6" spans="1:20" ht="15" customHeight="1" x14ac:dyDescent="0.2">
      <c r="A6" s="39" t="s">
        <v>5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22">
        <f>SUM(O7,O12,O14,O17,O21,O23,O25,O27,O30,O33,O38,O40,O44,O46,O48,O50,O52,O56,O60,O62,O71,O75,O77,O86,O88,O90,O92,O99,O102,O104,O106,O154,O201,O204,O212,O214,O216,O218,O222,O228,O230,O232,O236,O239,O242,O244,O250,O252,O255,O257,O259,O261,O264,O273,O275,O278,O280,O283,O285,O287,O292,O295,O297,O302,O310)</f>
        <v>529142</v>
      </c>
      <c r="P6" s="27">
        <f>SUM(P7,P12,P14,P17,P21,P23,P25,P27,P30,P33,P38,P40,P44,P46,P48,P50,P52,P56,P60,P62,P71,P75,P77,P86,P88,P90,P92,P99,P102,P104,P106,P154,P201,P204,P212,P214,P216,P218,P222,P228,P230,P232,P236,P239,P242,P244,P250,P252,P255,P257,P259,P261,P264,P273,P275,P278,P280,P283,P285,P287,P292,P295,P297,P302,P310)</f>
        <v>2995096.02</v>
      </c>
      <c r="S6" s="12" t="s">
        <v>157</v>
      </c>
      <c r="T6" s="13">
        <f>SUM(T7:T13)</f>
        <v>316700</v>
      </c>
    </row>
    <row r="7" spans="1:20" ht="15" customHeight="1" x14ac:dyDescent="0.2">
      <c r="A7" s="33" t="s">
        <v>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7">
        <v>26000</v>
      </c>
      <c r="P7" s="8">
        <v>106040</v>
      </c>
      <c r="S7" t="s">
        <v>158</v>
      </c>
      <c r="T7" s="11">
        <f>SUM(O8,O9,O10,O14,O22,O27,O32,O34,O41,O42,O53,O57,O61,O63,O64,O65,O66,O67,O68,O72,O73,O78,O79,O80,O81,O82,O83,O84,O86,O110,O159,O169,O180,O202,O205,O206,O207,O208,O219,O220,O223,O225,O224,O233,O236,O245,O246,O247,O251,O258,O262,O265,O266,O267,O268,O269,O270,O275,O290,O291,O296,O298,O299,O300,O303,O304,O311,O155,O156,O157,O158,O160,O161,O162,O163,O164,O165,O166,O170,O174,O175,O176,O179,O181,O182,O183,O107,O111,O112,O113,O114,O115,O118,O121,O122,O123)</f>
        <v>227650</v>
      </c>
    </row>
    <row r="8" spans="1:20" ht="15" customHeight="1" outlineLevel="5" x14ac:dyDescent="0.2">
      <c r="A8" s="32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">
        <v>10000</v>
      </c>
      <c r="P8" s="4">
        <v>69500</v>
      </c>
      <c r="S8" t="s">
        <v>159</v>
      </c>
      <c r="T8" s="11">
        <v>20000</v>
      </c>
    </row>
    <row r="9" spans="1:20" ht="15" customHeight="1" outlineLevel="5" x14ac:dyDescent="0.2">
      <c r="A9" s="32" t="s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">
        <v>5000</v>
      </c>
      <c r="P9" s="4">
        <v>8750</v>
      </c>
      <c r="S9" s="26" t="s">
        <v>160</v>
      </c>
      <c r="T9" s="11">
        <f>SUM(O54,O126,O210,O305,O306,O307)</f>
        <v>43000</v>
      </c>
    </row>
    <row r="10" spans="1:20" ht="15" customHeight="1" outlineLevel="5" x14ac:dyDescent="0.2">
      <c r="A10" s="32" t="s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">
        <v>1000</v>
      </c>
      <c r="P10" s="4">
        <v>6390</v>
      </c>
      <c r="S10" s="26" t="s">
        <v>246</v>
      </c>
      <c r="T10" s="11">
        <v>2700</v>
      </c>
    </row>
    <row r="11" spans="1:20" ht="15" customHeight="1" outlineLevel="5" x14ac:dyDescent="0.2">
      <c r="A11" s="32" t="s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">
        <v>10000</v>
      </c>
      <c r="P11" s="4">
        <v>21400</v>
      </c>
      <c r="S11" t="s">
        <v>161</v>
      </c>
      <c r="T11" s="11">
        <f>SUM(O11)</f>
        <v>10000</v>
      </c>
    </row>
    <row r="12" spans="1:20" ht="15" customHeight="1" x14ac:dyDescent="0.2">
      <c r="A12" s="33" t="s">
        <v>11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7">
        <v>3000</v>
      </c>
      <c r="P12" s="8">
        <v>10590</v>
      </c>
      <c r="S12" t="s">
        <v>162</v>
      </c>
      <c r="T12" s="11">
        <f>SUM(O55,O301,O308,O185,O186,O127,O128,O129)</f>
        <v>12000</v>
      </c>
    </row>
    <row r="13" spans="1:20" ht="15" customHeight="1" outlineLevel="5" x14ac:dyDescent="0.2">
      <c r="A13" s="32" t="s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">
        <v>3000</v>
      </c>
      <c r="P13" s="4">
        <v>10590</v>
      </c>
      <c r="S13" t="s">
        <v>163</v>
      </c>
      <c r="T13" s="11">
        <v>1350</v>
      </c>
    </row>
    <row r="14" spans="1:20" ht="15" customHeight="1" x14ac:dyDescent="0.2">
      <c r="A14" s="33" t="s">
        <v>13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7">
        <v>2500</v>
      </c>
      <c r="P14" s="8">
        <v>7140</v>
      </c>
      <c r="S14" t="s">
        <v>24</v>
      </c>
      <c r="T14" s="11">
        <f>SUM(O43,O58,O132,O188,O217,O248)</f>
        <v>50150</v>
      </c>
    </row>
    <row r="15" spans="1:20" ht="15" customHeight="1" outlineLevel="5" x14ac:dyDescent="0.2">
      <c r="A15" s="32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">
        <v>1000</v>
      </c>
      <c r="P15" s="4">
        <v>2760</v>
      </c>
      <c r="S15" t="s">
        <v>12</v>
      </c>
      <c r="T15" s="11">
        <f>SUM(O13,O26,O36,O70,O103,O149,O194,O235,O240,O263,O281,O286)</f>
        <v>52900</v>
      </c>
    </row>
    <row r="16" spans="1:20" ht="15" customHeight="1" outlineLevel="5" x14ac:dyDescent="0.2">
      <c r="A16" s="32" t="s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">
        <v>1500</v>
      </c>
      <c r="P16" s="4">
        <v>4380</v>
      </c>
      <c r="S16" t="s">
        <v>38</v>
      </c>
      <c r="T16" s="11">
        <f>SUM(O37,O59,O150,O198,O211,O231,O241,O254,O282,O309)</f>
        <v>12250</v>
      </c>
    </row>
    <row r="17" spans="1:20" ht="15" customHeight="1" x14ac:dyDescent="0.2">
      <c r="A17" s="33" t="s">
        <v>16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7">
        <v>20000</v>
      </c>
      <c r="P17" s="8">
        <v>70057.039999999994</v>
      </c>
      <c r="S17" t="s">
        <v>23</v>
      </c>
      <c r="T17" s="11">
        <f>SUM(O24,O39,O45,O74,O85,O89,O141,O213,O215,O243,O256,O260,O274,O279,O294)</f>
        <v>992</v>
      </c>
    </row>
    <row r="18" spans="1:20" ht="15" customHeight="1" outlineLevel="5" x14ac:dyDescent="0.2">
      <c r="A18" s="32" t="s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">
        <v>15000</v>
      </c>
      <c r="P18" s="4">
        <v>53594.61</v>
      </c>
      <c r="S18" t="s">
        <v>25</v>
      </c>
      <c r="T18">
        <v>650</v>
      </c>
    </row>
    <row r="19" spans="1:20" ht="15" customHeight="1" outlineLevel="5" x14ac:dyDescent="0.2">
      <c r="A19" s="32" t="s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">
        <v>3000</v>
      </c>
      <c r="P19" s="4">
        <v>7768.7</v>
      </c>
      <c r="S19" t="s">
        <v>37</v>
      </c>
      <c r="T19" s="11">
        <f>SUM(O35,O49,O91,O98,O135,O193,O221,O227,O234,O249,O271,O284)</f>
        <v>15550</v>
      </c>
    </row>
    <row r="20" spans="1:20" ht="15" customHeight="1" outlineLevel="5" x14ac:dyDescent="0.2">
      <c r="A20" s="32" t="s">
        <v>19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">
        <v>2000</v>
      </c>
      <c r="P20" s="4">
        <v>8693.73</v>
      </c>
      <c r="S20" t="s">
        <v>87</v>
      </c>
      <c r="T20" s="11">
        <v>450</v>
      </c>
    </row>
    <row r="21" spans="1:20" ht="15" customHeight="1" x14ac:dyDescent="0.2">
      <c r="A21" s="33" t="s">
        <v>20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7">
        <v>3000</v>
      </c>
      <c r="P21" s="8">
        <v>21641.759999999998</v>
      </c>
      <c r="S21" t="s">
        <v>45</v>
      </c>
      <c r="T21" s="20">
        <f>SUM(O47,O145)</f>
        <v>475</v>
      </c>
    </row>
    <row r="22" spans="1:20" ht="15.6" customHeight="1" outlineLevel="5" x14ac:dyDescent="0.2">
      <c r="A22" s="32" t="s">
        <v>21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">
        <v>3000</v>
      </c>
      <c r="P22" s="4">
        <v>21641.759999999998</v>
      </c>
      <c r="S22" t="s">
        <v>26</v>
      </c>
      <c r="T22">
        <v>200</v>
      </c>
    </row>
    <row r="23" spans="1:20" ht="15.6" customHeight="1" x14ac:dyDescent="0.2">
      <c r="A23" s="33" t="s">
        <v>22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9">
        <v>75</v>
      </c>
      <c r="P23" s="8">
        <v>12900.5</v>
      </c>
      <c r="S23" t="s">
        <v>88</v>
      </c>
      <c r="T23">
        <v>100</v>
      </c>
    </row>
    <row r="24" spans="1:20" ht="15" customHeight="1" outlineLevel="4" x14ac:dyDescent="0.2">
      <c r="A24" s="40" t="s">
        <v>23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5">
        <v>75</v>
      </c>
      <c r="P24" s="4">
        <v>12900.5</v>
      </c>
      <c r="S24" t="s">
        <v>164</v>
      </c>
      <c r="T24">
        <v>300</v>
      </c>
    </row>
    <row r="25" spans="1:20" ht="15" customHeight="1" x14ac:dyDescent="0.2">
      <c r="A25" s="33" t="s">
        <v>28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9">
        <v>150</v>
      </c>
      <c r="P25" s="8">
        <v>559.5</v>
      </c>
      <c r="S25" t="s">
        <v>247</v>
      </c>
      <c r="T25">
        <v>25</v>
      </c>
    </row>
    <row r="26" spans="1:20" ht="15" customHeight="1" outlineLevel="5" x14ac:dyDescent="0.2">
      <c r="A26" s="32" t="s">
        <v>12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5">
        <v>150</v>
      </c>
      <c r="P26" s="6">
        <v>559.5</v>
      </c>
      <c r="S26" s="26" t="s">
        <v>244</v>
      </c>
      <c r="T26">
        <v>50</v>
      </c>
    </row>
    <row r="27" spans="1:20" ht="15" customHeight="1" x14ac:dyDescent="0.2">
      <c r="A27" s="33" t="s">
        <v>29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7">
        <v>1100</v>
      </c>
      <c r="P27" s="8">
        <v>5402</v>
      </c>
      <c r="S27" t="s">
        <v>48</v>
      </c>
      <c r="T27" s="18">
        <f>SUM(O51,O253)</f>
        <v>2200</v>
      </c>
    </row>
    <row r="28" spans="1:20" ht="15" customHeight="1" outlineLevel="5" x14ac:dyDescent="0.2">
      <c r="A28" s="32" t="s">
        <v>30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5">
        <v>500</v>
      </c>
      <c r="P28" s="4">
        <v>3650</v>
      </c>
      <c r="S28" s="12" t="s">
        <v>165</v>
      </c>
      <c r="T28" s="13">
        <f>SUM(T29:T31)</f>
        <v>76150</v>
      </c>
    </row>
    <row r="29" spans="1:20" ht="15" customHeight="1" outlineLevel="5" x14ac:dyDescent="0.2">
      <c r="A29" s="32" t="s">
        <v>31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5">
        <v>600</v>
      </c>
      <c r="P29" s="4">
        <v>1752</v>
      </c>
      <c r="S29" t="s">
        <v>166</v>
      </c>
      <c r="T29" s="18">
        <f>SUM(O69,O203,O209,S29,O184)</f>
        <v>20000</v>
      </c>
    </row>
    <row r="30" spans="1:20" ht="15" customHeight="1" x14ac:dyDescent="0.2">
      <c r="A30" s="41" t="s">
        <v>32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3"/>
      <c r="O30" s="7">
        <v>4000</v>
      </c>
      <c r="P30" s="8">
        <v>10250</v>
      </c>
      <c r="S30" t="s">
        <v>167</v>
      </c>
      <c r="T30" s="11">
        <f>SUM(O31,O76,O93,O100,O101,O105,O229,O288,O289,O293)</f>
        <v>45650</v>
      </c>
    </row>
    <row r="31" spans="1:20" ht="15" customHeight="1" outlineLevel="6" x14ac:dyDescent="0.2">
      <c r="A31" s="44" t="s">
        <v>33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">
        <v>3000</v>
      </c>
      <c r="P31" s="4">
        <v>4800</v>
      </c>
      <c r="S31" t="s">
        <v>168</v>
      </c>
      <c r="T31" s="11">
        <v>10500</v>
      </c>
    </row>
    <row r="32" spans="1:20" ht="15" customHeight="1" outlineLevel="5" x14ac:dyDescent="0.2">
      <c r="A32" s="32" t="s">
        <v>34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">
        <v>1000</v>
      </c>
      <c r="P32" s="4">
        <v>5450</v>
      </c>
      <c r="S32" s="12" t="s">
        <v>5</v>
      </c>
      <c r="T32" s="13">
        <f>SUM(T28,T6,T14:T27)</f>
        <v>529142</v>
      </c>
    </row>
    <row r="33" spans="1:16" ht="15" customHeight="1" x14ac:dyDescent="0.2">
      <c r="A33" s="33" t="s">
        <v>35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7">
        <v>16700</v>
      </c>
      <c r="P33" s="8">
        <v>113127</v>
      </c>
    </row>
    <row r="34" spans="1:16" ht="15" customHeight="1" outlineLevel="5" x14ac:dyDescent="0.2">
      <c r="A34" s="32" t="s">
        <v>36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">
        <v>5000</v>
      </c>
      <c r="P34" s="4">
        <v>34250</v>
      </c>
    </row>
    <row r="35" spans="1:16" ht="15" customHeight="1" outlineLevel="4" x14ac:dyDescent="0.2">
      <c r="A35" s="40" t="s">
        <v>37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3">
        <v>4000</v>
      </c>
      <c r="P35" s="4">
        <v>34640</v>
      </c>
    </row>
    <row r="36" spans="1:16" ht="15" customHeight="1" outlineLevel="5" x14ac:dyDescent="0.2">
      <c r="A36" s="32" t="s">
        <v>12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">
        <v>6000</v>
      </c>
      <c r="P36" s="4">
        <v>21780</v>
      </c>
    </row>
    <row r="37" spans="1:16" ht="15" customHeight="1" outlineLevel="5" x14ac:dyDescent="0.2">
      <c r="A37" s="32" t="s">
        <v>38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">
        <v>1700</v>
      </c>
      <c r="P37" s="4">
        <v>22457</v>
      </c>
    </row>
    <row r="38" spans="1:16" ht="15" customHeight="1" x14ac:dyDescent="0.2">
      <c r="A38" s="33" t="s">
        <v>39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9">
        <v>100</v>
      </c>
      <c r="P38" s="8">
        <v>17000</v>
      </c>
    </row>
    <row r="39" spans="1:16" ht="15" customHeight="1" outlineLevel="4" x14ac:dyDescent="0.2">
      <c r="A39" s="40" t="s">
        <v>23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5">
        <v>100</v>
      </c>
      <c r="P39" s="4">
        <v>17000</v>
      </c>
    </row>
    <row r="40" spans="1:16" ht="15" customHeight="1" x14ac:dyDescent="0.2">
      <c r="A40" s="33" t="s">
        <v>40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7">
        <v>15000</v>
      </c>
      <c r="P40" s="8">
        <v>57870</v>
      </c>
    </row>
    <row r="41" spans="1:16" ht="15" customHeight="1" outlineLevel="5" x14ac:dyDescent="0.2">
      <c r="A41" s="32" t="s">
        <v>41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">
        <v>9000</v>
      </c>
      <c r="P41" s="4">
        <v>19080</v>
      </c>
    </row>
    <row r="42" spans="1:16" ht="15" customHeight="1" outlineLevel="5" x14ac:dyDescent="0.2">
      <c r="A42" s="32" t="s">
        <v>42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">
        <v>1000</v>
      </c>
      <c r="P42" s="4">
        <v>1790</v>
      </c>
    </row>
    <row r="43" spans="1:16" ht="15" customHeight="1" outlineLevel="4" x14ac:dyDescent="0.2">
      <c r="A43" s="40" t="s">
        <v>24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3">
        <v>5000</v>
      </c>
      <c r="P43" s="4">
        <v>37000</v>
      </c>
    </row>
    <row r="44" spans="1:16" ht="15" customHeight="1" x14ac:dyDescent="0.2">
      <c r="A44" s="33" t="s">
        <v>43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9">
        <v>7</v>
      </c>
      <c r="P44" s="8">
        <v>1264.2</v>
      </c>
    </row>
    <row r="45" spans="1:16" ht="15" customHeight="1" outlineLevel="4" x14ac:dyDescent="0.2">
      <c r="A45" s="40" t="s">
        <v>23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5">
        <v>7</v>
      </c>
      <c r="P45" s="4">
        <v>1264.2</v>
      </c>
    </row>
    <row r="46" spans="1:16" ht="15" customHeight="1" x14ac:dyDescent="0.2">
      <c r="A46" s="33" t="s">
        <v>44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9">
        <v>100</v>
      </c>
      <c r="P46" s="8">
        <v>5349</v>
      </c>
    </row>
    <row r="47" spans="1:16" ht="15" customHeight="1" outlineLevel="5" x14ac:dyDescent="0.2">
      <c r="A47" s="32" t="s">
        <v>45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5">
        <v>100</v>
      </c>
      <c r="P47" s="4">
        <v>5349</v>
      </c>
    </row>
    <row r="48" spans="1:16" ht="15" customHeight="1" x14ac:dyDescent="0.2">
      <c r="A48" s="33" t="s">
        <v>46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7">
        <v>1000</v>
      </c>
      <c r="P48" s="8">
        <v>8300</v>
      </c>
    </row>
    <row r="49" spans="1:16" ht="15" customHeight="1" outlineLevel="4" x14ac:dyDescent="0.2">
      <c r="A49" s="40" t="s">
        <v>37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3">
        <v>1000</v>
      </c>
      <c r="P49" s="4">
        <v>8300</v>
      </c>
    </row>
    <row r="50" spans="1:16" ht="15" customHeight="1" x14ac:dyDescent="0.2">
      <c r="A50" s="33" t="s">
        <v>47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9">
        <v>600</v>
      </c>
      <c r="P50" s="8">
        <v>4284</v>
      </c>
    </row>
    <row r="51" spans="1:16" ht="15" customHeight="1" outlineLevel="4" x14ac:dyDescent="0.2">
      <c r="A51" s="40" t="s">
        <v>48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5">
        <v>600</v>
      </c>
      <c r="P51" s="4">
        <v>4284</v>
      </c>
    </row>
    <row r="52" spans="1:16" ht="15" customHeight="1" x14ac:dyDescent="0.2">
      <c r="A52" s="33" t="s">
        <v>49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7">
        <v>11400</v>
      </c>
      <c r="P52" s="8">
        <v>46695</v>
      </c>
    </row>
    <row r="53" spans="1:16" ht="15" customHeight="1" outlineLevel="5" x14ac:dyDescent="0.2">
      <c r="A53" s="32" t="s">
        <v>50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">
        <v>3900</v>
      </c>
      <c r="P53" s="4">
        <v>15405</v>
      </c>
    </row>
    <row r="54" spans="1:16" ht="15" customHeight="1" outlineLevel="5" x14ac:dyDescent="0.2">
      <c r="A54" s="32" t="s">
        <v>51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">
        <v>6000</v>
      </c>
      <c r="P54" s="4">
        <v>19500</v>
      </c>
    </row>
    <row r="55" spans="1:16" ht="15" customHeight="1" outlineLevel="5" x14ac:dyDescent="0.2">
      <c r="A55" s="32" t="s">
        <v>52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">
        <v>1500</v>
      </c>
      <c r="P55" s="4">
        <v>11790</v>
      </c>
    </row>
    <row r="56" spans="1:16" ht="15" customHeight="1" x14ac:dyDescent="0.2">
      <c r="A56" s="33" t="s">
        <v>53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7">
        <v>10000</v>
      </c>
      <c r="P56" s="8">
        <v>76860</v>
      </c>
    </row>
    <row r="57" spans="1:16" ht="15" customHeight="1" outlineLevel="5" x14ac:dyDescent="0.2">
      <c r="A57" s="32" t="s">
        <v>54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">
        <v>1000</v>
      </c>
      <c r="P57" s="4">
        <v>2200</v>
      </c>
    </row>
    <row r="58" spans="1:16" ht="15" customHeight="1" outlineLevel="4" x14ac:dyDescent="0.2">
      <c r="A58" s="40" t="s">
        <v>24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3">
        <v>8000</v>
      </c>
      <c r="P58" s="4">
        <v>59200</v>
      </c>
    </row>
    <row r="59" spans="1:16" ht="15" customHeight="1" outlineLevel="5" x14ac:dyDescent="0.2">
      <c r="A59" s="32" t="s">
        <v>38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">
        <v>1000</v>
      </c>
      <c r="P59" s="4">
        <v>15460</v>
      </c>
    </row>
    <row r="60" spans="1:16" ht="15" customHeight="1" x14ac:dyDescent="0.2">
      <c r="A60" s="33" t="s">
        <v>55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7">
        <v>10000</v>
      </c>
      <c r="P60" s="8">
        <v>27400</v>
      </c>
    </row>
    <row r="61" spans="1:16" ht="15" customHeight="1" outlineLevel="5" x14ac:dyDescent="0.2">
      <c r="A61" s="32" t="s">
        <v>56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">
        <v>10000</v>
      </c>
      <c r="P61" s="4">
        <v>27400</v>
      </c>
    </row>
    <row r="62" spans="1:16" ht="15" customHeight="1" x14ac:dyDescent="0.2">
      <c r="A62" s="33" t="s">
        <v>57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7">
        <v>22000</v>
      </c>
      <c r="P62" s="8">
        <v>90690</v>
      </c>
    </row>
    <row r="63" spans="1:16" ht="15" customHeight="1" outlineLevel="5" x14ac:dyDescent="0.2">
      <c r="A63" s="32" t="s">
        <v>58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">
        <v>2000</v>
      </c>
      <c r="P63" s="4">
        <v>27360</v>
      </c>
    </row>
    <row r="64" spans="1:16" ht="15" customHeight="1" outlineLevel="5" x14ac:dyDescent="0.2">
      <c r="A64" s="32" t="s">
        <v>59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">
        <v>2000</v>
      </c>
      <c r="P64" s="4">
        <v>10600</v>
      </c>
    </row>
    <row r="65" spans="1:16" ht="15" customHeight="1" outlineLevel="5" x14ac:dyDescent="0.2">
      <c r="A65" s="32" t="s">
        <v>60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">
        <v>4000</v>
      </c>
      <c r="P65" s="4">
        <v>9360</v>
      </c>
    </row>
    <row r="66" spans="1:16" ht="15" customHeight="1" outlineLevel="5" x14ac:dyDescent="0.2">
      <c r="A66" s="32" t="s">
        <v>61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">
        <v>1000</v>
      </c>
      <c r="P66" s="4">
        <v>3110</v>
      </c>
    </row>
    <row r="67" spans="1:16" ht="15" customHeight="1" outlineLevel="5" x14ac:dyDescent="0.2">
      <c r="A67" s="32" t="s">
        <v>62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">
        <v>1000</v>
      </c>
      <c r="P67" s="4">
        <v>3110</v>
      </c>
    </row>
    <row r="68" spans="1:16" ht="15" customHeight="1" outlineLevel="5" x14ac:dyDescent="0.2">
      <c r="A68" s="32" t="s">
        <v>63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">
        <v>2000</v>
      </c>
      <c r="P68" s="4">
        <v>5420</v>
      </c>
    </row>
    <row r="69" spans="1:16" s="19" customFormat="1" ht="15" customHeight="1" outlineLevel="5" x14ac:dyDescent="0.2">
      <c r="A69" s="32" t="s">
        <v>64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">
        <v>3000</v>
      </c>
      <c r="P69" s="4">
        <v>7020</v>
      </c>
    </row>
    <row r="70" spans="1:16" ht="15" customHeight="1" outlineLevel="5" x14ac:dyDescent="0.2">
      <c r="A70" s="32" t="s">
        <v>12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">
        <v>7000</v>
      </c>
      <c r="P70" s="4">
        <v>24710</v>
      </c>
    </row>
    <row r="71" spans="1:16" ht="15" customHeight="1" x14ac:dyDescent="0.2">
      <c r="A71" s="33" t="s">
        <v>65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7">
        <v>8025</v>
      </c>
      <c r="P71" s="8">
        <v>43130</v>
      </c>
    </row>
    <row r="72" spans="1:16" ht="15" customHeight="1" outlineLevel="5" x14ac:dyDescent="0.2">
      <c r="A72" s="32" t="s">
        <v>66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">
        <v>4000</v>
      </c>
      <c r="P72" s="4">
        <v>19440</v>
      </c>
    </row>
    <row r="73" spans="1:16" ht="15" customHeight="1" outlineLevel="5" x14ac:dyDescent="0.2">
      <c r="A73" s="32" t="s">
        <v>67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">
        <v>4000</v>
      </c>
      <c r="P73" s="4">
        <v>19440</v>
      </c>
    </row>
    <row r="74" spans="1:16" ht="15" customHeight="1" outlineLevel="4" x14ac:dyDescent="0.2">
      <c r="A74" s="40" t="s">
        <v>23</v>
      </c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5">
        <v>25</v>
      </c>
      <c r="P74" s="4">
        <v>4250</v>
      </c>
    </row>
    <row r="75" spans="1:16" ht="15" customHeight="1" x14ac:dyDescent="0.2">
      <c r="A75" s="33" t="s">
        <v>68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7">
        <v>2000</v>
      </c>
      <c r="P75" s="8">
        <v>3200</v>
      </c>
    </row>
    <row r="76" spans="1:16" ht="15" customHeight="1" outlineLevel="6" x14ac:dyDescent="0.2">
      <c r="A76" s="44" t="s">
        <v>33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3">
        <v>2000</v>
      </c>
      <c r="P76" s="4">
        <v>3200</v>
      </c>
    </row>
    <row r="77" spans="1:16" ht="15" customHeight="1" x14ac:dyDescent="0.2">
      <c r="A77" s="33" t="s">
        <v>69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7">
        <v>11100</v>
      </c>
      <c r="P77" s="8">
        <v>103691</v>
      </c>
    </row>
    <row r="78" spans="1:16" ht="15" customHeight="1" outlineLevel="5" x14ac:dyDescent="0.2">
      <c r="A78" s="32" t="s">
        <v>70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">
        <v>2000</v>
      </c>
      <c r="P78" s="4">
        <v>12360</v>
      </c>
    </row>
    <row r="79" spans="1:16" ht="15" customHeight="1" outlineLevel="5" x14ac:dyDescent="0.2">
      <c r="A79" s="32" t="s">
        <v>71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">
        <v>1000</v>
      </c>
      <c r="P79" s="4">
        <v>3950</v>
      </c>
    </row>
    <row r="80" spans="1:16" ht="15" customHeight="1" outlineLevel="5" x14ac:dyDescent="0.2">
      <c r="A80" s="32" t="s">
        <v>72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">
        <v>2000</v>
      </c>
      <c r="P80" s="4">
        <v>6900</v>
      </c>
    </row>
    <row r="81" spans="1:16" ht="15" customHeight="1" outlineLevel="5" x14ac:dyDescent="0.2">
      <c r="A81" s="32" t="s">
        <v>73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">
        <v>2000</v>
      </c>
      <c r="P81" s="4">
        <v>38300</v>
      </c>
    </row>
    <row r="82" spans="1:16" ht="15" customHeight="1" outlineLevel="5" x14ac:dyDescent="0.2">
      <c r="A82" s="32" t="s">
        <v>30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5">
        <v>550</v>
      </c>
      <c r="P82" s="4">
        <v>4015</v>
      </c>
    </row>
    <row r="83" spans="1:16" ht="15" customHeight="1" outlineLevel="5" x14ac:dyDescent="0.2">
      <c r="A83" s="32" t="s">
        <v>74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">
        <v>2450</v>
      </c>
      <c r="P83" s="4">
        <v>17885</v>
      </c>
    </row>
    <row r="84" spans="1:16" ht="15" customHeight="1" outlineLevel="5" x14ac:dyDescent="0.2">
      <c r="A84" s="32" t="s">
        <v>75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">
        <v>1000</v>
      </c>
      <c r="P84" s="4">
        <v>2980</v>
      </c>
    </row>
    <row r="85" spans="1:16" ht="15" customHeight="1" outlineLevel="4" x14ac:dyDescent="0.2">
      <c r="A85" s="40" t="s">
        <v>23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5">
        <v>100</v>
      </c>
      <c r="P85" s="4">
        <v>17301</v>
      </c>
    </row>
    <row r="86" spans="1:16" ht="15" customHeight="1" x14ac:dyDescent="0.2">
      <c r="A86" s="33" t="s">
        <v>76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9">
        <v>600</v>
      </c>
      <c r="P86" s="8">
        <v>1476</v>
      </c>
    </row>
    <row r="87" spans="1:16" ht="15" customHeight="1" outlineLevel="5" x14ac:dyDescent="0.2">
      <c r="A87" s="32" t="s">
        <v>77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5">
        <v>600</v>
      </c>
      <c r="P87" s="4">
        <v>1476</v>
      </c>
    </row>
    <row r="88" spans="1:16" ht="15" customHeight="1" x14ac:dyDescent="0.2">
      <c r="A88" s="33" t="s">
        <v>78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9">
        <v>30</v>
      </c>
      <c r="P88" s="8">
        <v>5418</v>
      </c>
    </row>
    <row r="89" spans="1:16" ht="15" customHeight="1" outlineLevel="4" x14ac:dyDescent="0.2">
      <c r="A89" s="40" t="s">
        <v>23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5">
        <v>30</v>
      </c>
      <c r="P89" s="4">
        <v>5418</v>
      </c>
    </row>
    <row r="90" spans="1:16" ht="15" customHeight="1" x14ac:dyDescent="0.2">
      <c r="A90" s="33" t="s">
        <v>79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7">
        <v>1000</v>
      </c>
      <c r="P90" s="8">
        <v>8520</v>
      </c>
    </row>
    <row r="91" spans="1:16" ht="15" customHeight="1" outlineLevel="4" x14ac:dyDescent="0.2">
      <c r="A91" s="40" t="s">
        <v>37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3">
        <v>1000</v>
      </c>
      <c r="P91" s="4">
        <v>8520</v>
      </c>
    </row>
    <row r="92" spans="1:16" ht="15" customHeight="1" x14ac:dyDescent="0.2">
      <c r="A92" s="33" t="s">
        <v>80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7">
        <v>19500</v>
      </c>
      <c r="P92" s="8">
        <v>61878.27</v>
      </c>
    </row>
    <row r="93" spans="1:16" ht="15" customHeight="1" outlineLevel="6" x14ac:dyDescent="0.2">
      <c r="A93" s="44" t="s">
        <v>81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3">
        <v>8000</v>
      </c>
      <c r="P93" s="4">
        <v>14034.89</v>
      </c>
    </row>
    <row r="94" spans="1:16" ht="15" customHeight="1" outlineLevel="6" x14ac:dyDescent="0.2">
      <c r="A94" s="44" t="s">
        <v>169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3">
        <v>5700</v>
      </c>
      <c r="P94" s="15">
        <v>10705.79</v>
      </c>
    </row>
    <row r="95" spans="1:16" ht="15" customHeight="1" outlineLevel="6" x14ac:dyDescent="0.2">
      <c r="A95" s="44" t="s">
        <v>170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3">
        <v>3000</v>
      </c>
      <c r="P95" s="15">
        <v>14736.17</v>
      </c>
    </row>
    <row r="96" spans="1:16" ht="15" customHeight="1" outlineLevel="6" x14ac:dyDescent="0.2">
      <c r="A96" s="44" t="s">
        <v>171</v>
      </c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3">
        <v>800</v>
      </c>
      <c r="P96" s="15">
        <v>3475.75</v>
      </c>
    </row>
    <row r="97" spans="1:17" ht="15" customHeight="1" outlineLevel="6" x14ac:dyDescent="0.2">
      <c r="A97" s="44" t="s">
        <v>172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3">
        <v>1000</v>
      </c>
      <c r="P97" s="15">
        <v>8936.68</v>
      </c>
    </row>
    <row r="98" spans="1:17" ht="15" customHeight="1" outlineLevel="4" x14ac:dyDescent="0.2">
      <c r="A98" s="40" t="s">
        <v>37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3">
        <v>1000</v>
      </c>
      <c r="P98" s="4">
        <v>9988.99</v>
      </c>
    </row>
    <row r="99" spans="1:17" ht="15" customHeight="1" x14ac:dyDescent="0.2">
      <c r="A99" s="33" t="s">
        <v>82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9">
        <v>650</v>
      </c>
      <c r="P99" s="8">
        <v>1084</v>
      </c>
    </row>
    <row r="100" spans="1:17" ht="15" customHeight="1" outlineLevel="6" x14ac:dyDescent="0.2">
      <c r="A100" s="44" t="s">
        <v>83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5">
        <v>150</v>
      </c>
      <c r="P100" s="6">
        <v>249</v>
      </c>
    </row>
    <row r="101" spans="1:17" ht="15" customHeight="1" outlineLevel="6" x14ac:dyDescent="0.2">
      <c r="A101" s="44" t="s">
        <v>84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5">
        <v>500</v>
      </c>
      <c r="P101" s="6">
        <v>835</v>
      </c>
    </row>
    <row r="102" spans="1:17" ht="15" customHeight="1" x14ac:dyDescent="0.2">
      <c r="A102" s="33" t="s">
        <v>85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7">
        <v>1000</v>
      </c>
      <c r="P102" s="8">
        <v>3530</v>
      </c>
    </row>
    <row r="103" spans="1:17" ht="15" customHeight="1" outlineLevel="5" x14ac:dyDescent="0.2">
      <c r="A103" s="32" t="s">
        <v>12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">
        <v>1000</v>
      </c>
      <c r="P103" s="4">
        <v>3530</v>
      </c>
    </row>
    <row r="104" spans="1:17" ht="15" customHeight="1" x14ac:dyDescent="0.2">
      <c r="A104" s="33" t="s">
        <v>89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7">
        <v>12000</v>
      </c>
      <c r="P104" s="8">
        <v>16320</v>
      </c>
    </row>
    <row r="105" spans="1:17" ht="15" customHeight="1" outlineLevel="6" x14ac:dyDescent="0.2">
      <c r="A105" s="44" t="s">
        <v>90</v>
      </c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3">
        <v>12000</v>
      </c>
      <c r="P105" s="4">
        <v>16320</v>
      </c>
      <c r="Q105" t="s">
        <v>243</v>
      </c>
    </row>
    <row r="106" spans="1:17" ht="15" customHeight="1" x14ac:dyDescent="0.2">
      <c r="A106" s="33" t="s">
        <v>89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7">
        <f>SUM(O107,O110,O111,O112,O113,O114,O115,O118,O121,O122,O123,O124,O125,O126,O127,O128,O129,O132,O135,O138,O139,O141,O145,O146,O147,O149,O150,O152,O153,O148)</f>
        <v>50000</v>
      </c>
      <c r="P106" s="8">
        <f>SUM(P107,P110,P111,P112,P113,P114,P115,P118,P121,P122,P123,P124,P125,P126,P127,P128,P129,P132,P135,P138,P139,P141,P145,P146,P147,P149,P150,P152,P153,P148)</f>
        <v>356619.25</v>
      </c>
    </row>
    <row r="107" spans="1:17" s="23" customFormat="1" ht="15" customHeight="1" x14ac:dyDescent="0.2">
      <c r="A107" s="28" t="s">
        <v>222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14">
        <v>2450</v>
      </c>
      <c r="P107" s="15">
        <v>6884.5</v>
      </c>
    </row>
    <row r="108" spans="1:17" s="23" customFormat="1" ht="15" customHeight="1" x14ac:dyDescent="0.2">
      <c r="A108" s="46" t="s">
        <v>223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14">
        <v>650</v>
      </c>
      <c r="P108" s="15">
        <v>1826.5</v>
      </c>
    </row>
    <row r="109" spans="1:17" s="23" customFormat="1" ht="15" customHeight="1" x14ac:dyDescent="0.2">
      <c r="A109" s="46" t="s">
        <v>224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14">
        <v>1800</v>
      </c>
      <c r="P109" s="15">
        <v>5058</v>
      </c>
    </row>
    <row r="110" spans="1:17" s="23" customFormat="1" ht="15" customHeight="1" outlineLevel="5" x14ac:dyDescent="0.2">
      <c r="A110" s="28" t="s">
        <v>91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4">
        <v>450</v>
      </c>
      <c r="P110" s="15">
        <v>1107</v>
      </c>
      <c r="Q110" s="23" t="s">
        <v>218</v>
      </c>
    </row>
    <row r="111" spans="1:17" s="23" customFormat="1" ht="15" customHeight="1" outlineLevel="5" x14ac:dyDescent="0.2">
      <c r="A111" s="28" t="s">
        <v>235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14">
        <v>2000</v>
      </c>
      <c r="P111" s="15">
        <v>4380</v>
      </c>
      <c r="Q111" s="23" t="s">
        <v>230</v>
      </c>
    </row>
    <row r="112" spans="1:17" s="23" customFormat="1" ht="15" customHeight="1" outlineLevel="5" x14ac:dyDescent="0.2">
      <c r="A112" s="28" t="s">
        <v>220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14">
        <v>3000</v>
      </c>
      <c r="P112" s="15">
        <v>10410</v>
      </c>
      <c r="Q112" s="23" t="s">
        <v>218</v>
      </c>
    </row>
    <row r="113" spans="1:17" s="23" customFormat="1" ht="15" customHeight="1" outlineLevel="5" x14ac:dyDescent="0.2">
      <c r="A113" s="28" t="s">
        <v>227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14">
        <v>2000</v>
      </c>
      <c r="P113" s="15">
        <v>6960</v>
      </c>
      <c r="Q113" s="23" t="s">
        <v>228</v>
      </c>
    </row>
    <row r="114" spans="1:17" s="23" customFormat="1" ht="15" customHeight="1" outlineLevel="5" x14ac:dyDescent="0.2">
      <c r="A114" s="31" t="s">
        <v>248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14">
        <v>500</v>
      </c>
      <c r="P114" s="15">
        <v>1730</v>
      </c>
      <c r="Q114" s="23" t="s">
        <v>218</v>
      </c>
    </row>
    <row r="115" spans="1:17" s="23" customFormat="1" ht="15" customHeight="1" outlineLevel="5" x14ac:dyDescent="0.2">
      <c r="A115" s="28" t="s">
        <v>231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14">
        <v>2550</v>
      </c>
      <c r="P115" s="15">
        <v>14127</v>
      </c>
    </row>
    <row r="116" spans="1:17" s="23" customFormat="1" ht="15" customHeight="1" outlineLevel="5" x14ac:dyDescent="0.2">
      <c r="A116" s="29" t="s">
        <v>219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14">
        <v>2000</v>
      </c>
      <c r="P116" s="15">
        <v>11080</v>
      </c>
    </row>
    <row r="117" spans="1:17" s="23" customFormat="1" ht="15" customHeight="1" outlineLevel="5" x14ac:dyDescent="0.2">
      <c r="A117" s="29" t="s">
        <v>232</v>
      </c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14">
        <v>550</v>
      </c>
      <c r="P117" s="15">
        <v>3047</v>
      </c>
    </row>
    <row r="118" spans="1:17" s="23" customFormat="1" ht="15" customHeight="1" outlineLevel="5" x14ac:dyDescent="0.2">
      <c r="A118" s="28" t="s">
        <v>229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14">
        <v>8500</v>
      </c>
      <c r="P118" s="15">
        <v>47175</v>
      </c>
    </row>
    <row r="119" spans="1:17" s="23" customFormat="1" ht="15" customHeight="1" outlineLevel="5" x14ac:dyDescent="0.2">
      <c r="A119" s="29" t="s">
        <v>219</v>
      </c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14">
        <v>7000</v>
      </c>
      <c r="P119" s="15">
        <v>38850</v>
      </c>
    </row>
    <row r="120" spans="1:17" s="23" customFormat="1" ht="15" customHeight="1" outlineLevel="5" x14ac:dyDescent="0.2">
      <c r="A120" s="29" t="s">
        <v>230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14">
        <v>1500</v>
      </c>
      <c r="P120" s="15">
        <v>8325</v>
      </c>
    </row>
    <row r="121" spans="1:17" s="23" customFormat="1" ht="15" customHeight="1" outlineLevel="5" x14ac:dyDescent="0.2">
      <c r="A121" s="28" t="s">
        <v>236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14">
        <v>1050</v>
      </c>
      <c r="P121" s="15">
        <v>5701.5</v>
      </c>
      <c r="Q121" s="23" t="s">
        <v>232</v>
      </c>
    </row>
    <row r="122" spans="1:17" s="23" customFormat="1" ht="15" customHeight="1" outlineLevel="5" x14ac:dyDescent="0.2">
      <c r="A122" s="28" t="s">
        <v>237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14">
        <v>400</v>
      </c>
      <c r="P122" s="15">
        <v>2216</v>
      </c>
      <c r="Q122" s="23" t="s">
        <v>232</v>
      </c>
    </row>
    <row r="123" spans="1:17" s="23" customFormat="1" ht="15" customHeight="1" outlineLevel="5" x14ac:dyDescent="0.2">
      <c r="A123" s="28" t="s">
        <v>234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14">
        <v>500</v>
      </c>
      <c r="P123" s="15">
        <v>2745</v>
      </c>
      <c r="Q123" s="23" t="s">
        <v>230</v>
      </c>
    </row>
    <row r="124" spans="1:17" s="23" customFormat="1" ht="15" customHeight="1" outlineLevel="5" x14ac:dyDescent="0.2">
      <c r="A124" s="28" t="s">
        <v>225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14">
        <v>2600</v>
      </c>
      <c r="P124" s="15">
        <v>14196</v>
      </c>
      <c r="Q124" s="23" t="s">
        <v>223</v>
      </c>
    </row>
    <row r="125" spans="1:17" s="23" customFormat="1" ht="15" customHeight="1" outlineLevel="5" x14ac:dyDescent="0.2">
      <c r="A125" s="28" t="s">
        <v>226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14">
        <v>100</v>
      </c>
      <c r="P125" s="15">
        <v>536</v>
      </c>
      <c r="Q125" s="23" t="s">
        <v>223</v>
      </c>
    </row>
    <row r="126" spans="1:17" s="23" customFormat="1" ht="15" customHeight="1" outlineLevel="5" x14ac:dyDescent="0.2">
      <c r="A126" s="28" t="s">
        <v>245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14">
        <v>3000</v>
      </c>
      <c r="P126" s="15">
        <v>9420</v>
      </c>
      <c r="Q126" s="23" t="s">
        <v>218</v>
      </c>
    </row>
    <row r="127" spans="1:17" s="23" customFormat="1" ht="15" customHeight="1" outlineLevel="5" x14ac:dyDescent="0.2">
      <c r="A127" s="28" t="s">
        <v>233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14">
        <v>5000</v>
      </c>
      <c r="P127" s="15">
        <v>39750</v>
      </c>
      <c r="Q127" s="23" t="s">
        <v>219</v>
      </c>
    </row>
    <row r="128" spans="1:17" s="23" customFormat="1" ht="15" customHeight="1" outlineLevel="5" x14ac:dyDescent="0.2">
      <c r="A128" s="28" t="s">
        <v>221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14">
        <v>500</v>
      </c>
      <c r="P128" s="15">
        <v>4000</v>
      </c>
      <c r="Q128" s="23" t="s">
        <v>218</v>
      </c>
    </row>
    <row r="129" spans="1:16" s="23" customFormat="1" ht="15" customHeight="1" outlineLevel="5" x14ac:dyDescent="0.2">
      <c r="A129" s="28" t="s">
        <v>217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14">
        <v>2000</v>
      </c>
      <c r="P129" s="15">
        <v>15140</v>
      </c>
    </row>
    <row r="130" spans="1:16" s="23" customFormat="1" ht="15" customHeight="1" outlineLevel="5" x14ac:dyDescent="0.2">
      <c r="A130" s="29" t="s">
        <v>218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14">
        <v>500</v>
      </c>
      <c r="P130" s="15">
        <v>3785</v>
      </c>
    </row>
    <row r="131" spans="1:16" s="23" customFormat="1" ht="15" customHeight="1" outlineLevel="5" x14ac:dyDescent="0.2">
      <c r="A131" s="29" t="s">
        <v>219</v>
      </c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14">
        <v>1500</v>
      </c>
      <c r="P131" s="15">
        <v>11355</v>
      </c>
    </row>
    <row r="132" spans="1:16" s="23" customFormat="1" ht="15" customHeight="1" outlineLevel="4" x14ac:dyDescent="0.2">
      <c r="A132" s="45" t="s">
        <v>24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14">
        <v>9650</v>
      </c>
      <c r="P132" s="15">
        <v>59050</v>
      </c>
    </row>
    <row r="133" spans="1:16" s="23" customFormat="1" ht="15" customHeight="1" outlineLevel="4" x14ac:dyDescent="0.2">
      <c r="A133" s="29" t="s">
        <v>239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14">
        <v>5000</v>
      </c>
      <c r="P133" s="15">
        <v>30400</v>
      </c>
    </row>
    <row r="134" spans="1:16" s="23" customFormat="1" ht="15" customHeight="1" outlineLevel="4" x14ac:dyDescent="0.2">
      <c r="A134" s="29" t="s">
        <v>240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14">
        <v>2800</v>
      </c>
      <c r="P134" s="15">
        <v>17180</v>
      </c>
    </row>
    <row r="135" spans="1:16" s="23" customFormat="1" ht="15" customHeight="1" outlineLevel="4" x14ac:dyDescent="0.2">
      <c r="A135" s="45" t="s">
        <v>37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24">
        <v>800</v>
      </c>
      <c r="P135" s="15">
        <v>6643.5</v>
      </c>
    </row>
    <row r="136" spans="1:16" s="23" customFormat="1" ht="15" customHeight="1" outlineLevel="4" x14ac:dyDescent="0.2">
      <c r="A136" s="29" t="s">
        <v>218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4">
        <v>100</v>
      </c>
      <c r="P136" s="15">
        <v>852</v>
      </c>
    </row>
    <row r="137" spans="1:16" s="23" customFormat="1" ht="15" customHeight="1" outlineLevel="4" x14ac:dyDescent="0.2">
      <c r="A137" s="29" t="s">
        <v>238</v>
      </c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4">
        <v>300</v>
      </c>
      <c r="P137" s="15">
        <v>2511</v>
      </c>
    </row>
    <row r="138" spans="1:16" s="23" customFormat="1" ht="15" customHeight="1" outlineLevel="4" x14ac:dyDescent="0.2">
      <c r="A138" s="45" t="s">
        <v>87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24">
        <v>50</v>
      </c>
      <c r="P138" s="25">
        <v>803</v>
      </c>
    </row>
    <row r="139" spans="1:16" s="23" customFormat="1" ht="15" customHeight="1" outlineLevel="4" x14ac:dyDescent="0.2">
      <c r="A139" s="45" t="s">
        <v>25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24">
        <v>650</v>
      </c>
      <c r="P139" s="15">
        <v>24882.5</v>
      </c>
    </row>
    <row r="140" spans="1:16" s="23" customFormat="1" ht="15" customHeight="1" outlineLevel="4" x14ac:dyDescent="0.2">
      <c r="A140" s="29" t="s">
        <v>242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4">
        <v>500</v>
      </c>
      <c r="P140" s="15">
        <v>19170</v>
      </c>
    </row>
    <row r="141" spans="1:16" s="23" customFormat="1" ht="15" customHeight="1" outlineLevel="4" x14ac:dyDescent="0.2">
      <c r="A141" s="45" t="s">
        <v>23</v>
      </c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24">
        <v>100</v>
      </c>
      <c r="P141" s="15">
        <v>17661.25</v>
      </c>
    </row>
    <row r="142" spans="1:16" s="23" customFormat="1" ht="15" customHeight="1" outlineLevel="4" x14ac:dyDescent="0.2">
      <c r="A142" s="29" t="s">
        <v>224</v>
      </c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4">
        <v>35</v>
      </c>
      <c r="P142" s="15">
        <v>5951.6</v>
      </c>
    </row>
    <row r="143" spans="1:16" s="23" customFormat="1" ht="15" customHeight="1" outlineLevel="4" x14ac:dyDescent="0.2">
      <c r="A143" s="29" t="s">
        <v>219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4">
        <v>25</v>
      </c>
      <c r="P143" s="15">
        <v>4325.25</v>
      </c>
    </row>
    <row r="144" spans="1:16" s="23" customFormat="1" ht="15" customHeight="1" outlineLevel="4" x14ac:dyDescent="0.2">
      <c r="A144" s="29" t="s">
        <v>218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4">
        <v>40</v>
      </c>
      <c r="P144" s="15">
        <v>7384.4</v>
      </c>
    </row>
    <row r="145" spans="1:17" s="23" customFormat="1" ht="15" customHeight="1" outlineLevel="5" x14ac:dyDescent="0.2">
      <c r="A145" s="28" t="s">
        <v>45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4">
        <v>375</v>
      </c>
      <c r="P145" s="15">
        <v>20058.75</v>
      </c>
    </row>
    <row r="146" spans="1:17" s="23" customFormat="1" ht="15" customHeight="1" outlineLevel="5" x14ac:dyDescent="0.2">
      <c r="A146" s="28" t="s">
        <v>26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4">
        <v>200</v>
      </c>
      <c r="P146" s="15">
        <v>6324</v>
      </c>
    </row>
    <row r="147" spans="1:17" s="23" customFormat="1" ht="15" customHeight="1" outlineLevel="5" x14ac:dyDescent="0.2">
      <c r="A147" s="28" t="s">
        <v>88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4">
        <v>100</v>
      </c>
      <c r="P147" s="15">
        <v>5374</v>
      </c>
    </row>
    <row r="148" spans="1:17" s="23" customFormat="1" ht="15" customHeight="1" outlineLevel="5" x14ac:dyDescent="0.2">
      <c r="A148" s="28" t="s">
        <v>247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4">
        <v>25</v>
      </c>
      <c r="P148" s="15">
        <v>997.75</v>
      </c>
    </row>
    <row r="149" spans="1:17" s="23" customFormat="1" ht="15" customHeight="1" outlineLevel="5" x14ac:dyDescent="0.2">
      <c r="A149" s="28" t="s">
        <v>12</v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4">
        <v>500</v>
      </c>
      <c r="P149" s="15">
        <v>1765</v>
      </c>
    </row>
    <row r="150" spans="1:17" s="23" customFormat="1" ht="15" customHeight="1" outlineLevel="5" x14ac:dyDescent="0.2">
      <c r="A150" s="28" t="s">
        <v>38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4">
        <v>600</v>
      </c>
      <c r="P150" s="15">
        <v>8681.5</v>
      </c>
    </row>
    <row r="151" spans="1:17" s="23" customFormat="1" ht="15" customHeight="1" outlineLevel="5" x14ac:dyDescent="0.2">
      <c r="A151" s="29" t="s">
        <v>241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4">
        <v>100</v>
      </c>
      <c r="P151" s="15">
        <v>1514</v>
      </c>
    </row>
    <row r="152" spans="1:17" s="23" customFormat="1" ht="15" customHeight="1" outlineLevel="5" x14ac:dyDescent="0.2">
      <c r="A152" s="28" t="s">
        <v>27</v>
      </c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4">
        <v>300</v>
      </c>
      <c r="P152" s="15">
        <v>14994</v>
      </c>
      <c r="Q152" s="23" t="s">
        <v>239</v>
      </c>
    </row>
    <row r="153" spans="1:17" s="23" customFormat="1" ht="15" customHeight="1" outlineLevel="5" x14ac:dyDescent="0.2">
      <c r="A153" s="28" t="s">
        <v>244</v>
      </c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4">
        <v>50</v>
      </c>
      <c r="P153" s="15">
        <v>2906</v>
      </c>
    </row>
    <row r="154" spans="1:17" ht="15" customHeight="1" x14ac:dyDescent="0.2">
      <c r="A154" s="33" t="s">
        <v>92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7">
        <f>SUM(O155,O156,O157,O158,O159,O160,O161,O162,O163,O164,O165,O166,O169,O170,O174,O175,O176,O179,O180,O181,O182,O183,O184,O185,O186,O187,O188,O193,O194,O198)</f>
        <v>78500</v>
      </c>
      <c r="P154" s="8">
        <f>SUM(P155,P156,P157,P158,P159,P160,P161,P162,P163,P164,P165,P166,P169,P170,P174,P175,P176,P179,P180,P181,P182,P183,P184,P185,P186,P187,P188,P193,P194,P198)</f>
        <v>551518</v>
      </c>
    </row>
    <row r="155" spans="1:17" s="23" customFormat="1" ht="15" customHeight="1" x14ac:dyDescent="0.2">
      <c r="A155" s="31" t="s">
        <v>189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14">
        <v>1500</v>
      </c>
      <c r="P155" s="15">
        <v>17340</v>
      </c>
      <c r="Q155" s="23" t="s">
        <v>185</v>
      </c>
    </row>
    <row r="156" spans="1:17" s="23" customFormat="1" ht="15" customHeight="1" x14ac:dyDescent="0.2">
      <c r="A156" s="31" t="s">
        <v>182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14">
        <v>2000</v>
      </c>
      <c r="P156" s="15">
        <v>17000</v>
      </c>
      <c r="Q156" s="23" t="s">
        <v>175</v>
      </c>
    </row>
    <row r="157" spans="1:17" s="23" customFormat="1" ht="15" customHeight="1" x14ac:dyDescent="0.2">
      <c r="A157" s="30" t="s">
        <v>205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14">
        <v>1500</v>
      </c>
      <c r="P157" s="15">
        <v>8640</v>
      </c>
      <c r="Q157" s="23" t="s">
        <v>203</v>
      </c>
    </row>
    <row r="158" spans="1:17" s="23" customFormat="1" ht="15" customHeight="1" x14ac:dyDescent="0.2">
      <c r="A158" s="30" t="s">
        <v>206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14">
        <v>1300</v>
      </c>
      <c r="P158" s="15">
        <v>8853</v>
      </c>
      <c r="Q158" s="23" t="s">
        <v>177</v>
      </c>
    </row>
    <row r="159" spans="1:17" s="23" customFormat="1" ht="15" customHeight="1" outlineLevel="5" x14ac:dyDescent="0.2">
      <c r="A159" s="30" t="s">
        <v>207</v>
      </c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14">
        <v>1300</v>
      </c>
      <c r="P159" s="15">
        <v>3523</v>
      </c>
      <c r="Q159" s="23" t="s">
        <v>177</v>
      </c>
    </row>
    <row r="160" spans="1:17" s="23" customFormat="1" ht="15" customHeight="1" outlineLevel="5" x14ac:dyDescent="0.2">
      <c r="A160" s="30" t="s">
        <v>181</v>
      </c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14">
        <v>4000</v>
      </c>
      <c r="P160" s="15">
        <v>80000</v>
      </c>
      <c r="Q160" s="23" t="s">
        <v>174</v>
      </c>
    </row>
    <row r="161" spans="1:17" s="23" customFormat="1" ht="15" customHeight="1" outlineLevel="5" x14ac:dyDescent="0.2">
      <c r="A161" s="30" t="s">
        <v>208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14">
        <v>3000</v>
      </c>
      <c r="P161" s="15">
        <v>10170</v>
      </c>
      <c r="Q161" s="23" t="s">
        <v>175</v>
      </c>
    </row>
    <row r="162" spans="1:17" s="23" customFormat="1" ht="15" customHeight="1" outlineLevel="5" x14ac:dyDescent="0.2">
      <c r="A162" s="30" t="s">
        <v>209</v>
      </c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14">
        <v>9000</v>
      </c>
      <c r="P162" s="15">
        <v>24840</v>
      </c>
      <c r="Q162" s="23" t="s">
        <v>194</v>
      </c>
    </row>
    <row r="163" spans="1:17" s="23" customFormat="1" ht="15" customHeight="1" outlineLevel="5" x14ac:dyDescent="0.2">
      <c r="A163" s="30" t="s">
        <v>210</v>
      </c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14">
        <v>1500</v>
      </c>
      <c r="P163" s="15">
        <v>6690</v>
      </c>
      <c r="Q163" s="23" t="s">
        <v>185</v>
      </c>
    </row>
    <row r="164" spans="1:17" s="23" customFormat="1" ht="15" customHeight="1" outlineLevel="5" x14ac:dyDescent="0.2">
      <c r="A164" s="30" t="s">
        <v>211</v>
      </c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14">
        <v>1500</v>
      </c>
      <c r="P164" s="15">
        <v>5070</v>
      </c>
      <c r="Q164" s="23" t="s">
        <v>183</v>
      </c>
    </row>
    <row r="165" spans="1:17" s="23" customFormat="1" ht="15" customHeight="1" outlineLevel="5" x14ac:dyDescent="0.2">
      <c r="A165" s="30" t="s">
        <v>212</v>
      </c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14">
        <v>750</v>
      </c>
      <c r="P165" s="15">
        <v>2640</v>
      </c>
      <c r="Q165" s="23" t="s">
        <v>180</v>
      </c>
    </row>
    <row r="166" spans="1:17" s="23" customFormat="1" ht="15" customHeight="1" outlineLevel="5" x14ac:dyDescent="0.2">
      <c r="A166" s="30" t="s">
        <v>213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14">
        <v>1000</v>
      </c>
      <c r="P166" s="15">
        <v>3492</v>
      </c>
    </row>
    <row r="167" spans="1:17" s="23" customFormat="1" ht="15" customHeight="1" outlineLevel="5" x14ac:dyDescent="0.2">
      <c r="A167" s="29" t="s">
        <v>199</v>
      </c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14">
        <v>300</v>
      </c>
      <c r="P167" s="15">
        <v>1056</v>
      </c>
    </row>
    <row r="168" spans="1:17" s="23" customFormat="1" ht="15" customHeight="1" outlineLevel="5" x14ac:dyDescent="0.2">
      <c r="A168" s="29" t="s">
        <v>200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14">
        <v>700</v>
      </c>
      <c r="P168" s="15">
        <v>2436</v>
      </c>
    </row>
    <row r="169" spans="1:17" s="23" customFormat="1" ht="15" customHeight="1" outlineLevel="5" x14ac:dyDescent="0.2">
      <c r="A169" s="28" t="s">
        <v>93</v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4">
        <v>100</v>
      </c>
      <c r="P169" s="25">
        <v>687</v>
      </c>
      <c r="Q169" s="23" t="s">
        <v>198</v>
      </c>
    </row>
    <row r="170" spans="1:17" s="23" customFormat="1" ht="15" customHeight="1" outlineLevel="5" x14ac:dyDescent="0.2">
      <c r="A170" s="28" t="s">
        <v>176</v>
      </c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14">
        <v>3700</v>
      </c>
      <c r="P170" s="15">
        <v>27079</v>
      </c>
    </row>
    <row r="171" spans="1:17" s="23" customFormat="1" ht="15" customHeight="1" outlineLevel="5" x14ac:dyDescent="0.2">
      <c r="A171" s="29" t="s">
        <v>175</v>
      </c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14">
        <v>1000</v>
      </c>
      <c r="P171" s="15">
        <v>7800</v>
      </c>
    </row>
    <row r="172" spans="1:17" s="23" customFormat="1" ht="15" customHeight="1" outlineLevel="5" x14ac:dyDescent="0.2">
      <c r="A172" s="29" t="s">
        <v>177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14">
        <v>2100</v>
      </c>
      <c r="P172" s="15">
        <v>14371</v>
      </c>
    </row>
    <row r="173" spans="1:17" s="23" customFormat="1" ht="15" customHeight="1" outlineLevel="5" x14ac:dyDescent="0.2">
      <c r="A173" s="29" t="s">
        <v>178</v>
      </c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4">
        <v>600</v>
      </c>
      <c r="P173" s="15">
        <v>4908</v>
      </c>
    </row>
    <row r="174" spans="1:17" s="23" customFormat="1" ht="15" customHeight="1" outlineLevel="5" x14ac:dyDescent="0.2">
      <c r="A174" s="28" t="s">
        <v>191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14">
        <v>1000</v>
      </c>
      <c r="P174" s="15">
        <v>8000</v>
      </c>
      <c r="Q174" s="23" t="s">
        <v>180</v>
      </c>
    </row>
    <row r="175" spans="1:17" s="23" customFormat="1" ht="15" customHeight="1" outlineLevel="5" x14ac:dyDescent="0.2">
      <c r="A175" s="28" t="s">
        <v>192</v>
      </c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14">
        <v>1800</v>
      </c>
      <c r="P175" s="15">
        <v>14670</v>
      </c>
      <c r="Q175" s="23" t="s">
        <v>178</v>
      </c>
    </row>
    <row r="176" spans="1:17" s="23" customFormat="1" ht="15" customHeight="1" outlineLevel="5" x14ac:dyDescent="0.2">
      <c r="A176" s="28" t="s">
        <v>179</v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14">
        <v>2500</v>
      </c>
      <c r="P176" s="15">
        <v>20015</v>
      </c>
    </row>
    <row r="177" spans="1:17" s="23" customFormat="1" ht="15" customHeight="1" outlineLevel="5" x14ac:dyDescent="0.2">
      <c r="A177" s="29" t="s">
        <v>175</v>
      </c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14">
        <v>1500</v>
      </c>
      <c r="P177" s="15">
        <v>12015</v>
      </c>
    </row>
    <row r="178" spans="1:17" s="23" customFormat="1" ht="15" customHeight="1" outlineLevel="5" x14ac:dyDescent="0.2">
      <c r="A178" s="29" t="s">
        <v>180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14">
        <v>1000</v>
      </c>
      <c r="P178" s="15">
        <v>8000</v>
      </c>
    </row>
    <row r="179" spans="1:17" s="23" customFormat="1" ht="15" customHeight="1" outlineLevel="5" x14ac:dyDescent="0.2">
      <c r="A179" s="28" t="s">
        <v>204</v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14">
        <v>700</v>
      </c>
      <c r="P179" s="15">
        <v>5593</v>
      </c>
      <c r="Q179" s="23" t="s">
        <v>200</v>
      </c>
    </row>
    <row r="180" spans="1:17" s="23" customFormat="1" ht="15" customHeight="1" outlineLevel="5" x14ac:dyDescent="0.2">
      <c r="A180" s="28" t="s">
        <v>94</v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14">
        <v>3000</v>
      </c>
      <c r="P180" s="15">
        <v>7140</v>
      </c>
      <c r="Q180" s="23" t="s">
        <v>186</v>
      </c>
    </row>
    <row r="181" spans="1:17" s="23" customFormat="1" ht="15" customHeight="1" outlineLevel="5" x14ac:dyDescent="0.2">
      <c r="A181" s="28" t="s">
        <v>193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14">
        <v>1200</v>
      </c>
      <c r="P181" s="15">
        <v>3564</v>
      </c>
      <c r="Q181" s="23" t="s">
        <v>188</v>
      </c>
    </row>
    <row r="182" spans="1:17" s="23" customFormat="1" ht="15" customHeight="1" outlineLevel="5" x14ac:dyDescent="0.2">
      <c r="A182" s="30" t="s">
        <v>214</v>
      </c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14">
        <v>500</v>
      </c>
      <c r="P182" s="15">
        <v>1725</v>
      </c>
      <c r="Q182" s="23" t="s">
        <v>174</v>
      </c>
    </row>
    <row r="183" spans="1:17" s="23" customFormat="1" ht="15" customHeight="1" outlineLevel="5" x14ac:dyDescent="0.2">
      <c r="A183" s="30" t="s">
        <v>215</v>
      </c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14">
        <v>1500</v>
      </c>
      <c r="P183" s="15">
        <v>5175</v>
      </c>
      <c r="Q183" s="23" t="s">
        <v>174</v>
      </c>
    </row>
    <row r="184" spans="1:17" s="23" customFormat="1" ht="15" customHeight="1" outlineLevel="5" x14ac:dyDescent="0.2">
      <c r="A184" s="30" t="s">
        <v>216</v>
      </c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14">
        <v>5000</v>
      </c>
      <c r="P184" s="15">
        <v>17150</v>
      </c>
      <c r="Q184" s="23" t="s">
        <v>185</v>
      </c>
    </row>
    <row r="185" spans="1:17" s="23" customFormat="1" ht="15" customHeight="1" outlineLevel="5" x14ac:dyDescent="0.2">
      <c r="A185" s="28" t="s">
        <v>201</v>
      </c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14">
        <v>500</v>
      </c>
      <c r="P185" s="15">
        <v>5100</v>
      </c>
      <c r="Q185" s="23" t="s">
        <v>202</v>
      </c>
    </row>
    <row r="186" spans="1:17" s="23" customFormat="1" ht="15" customHeight="1" outlineLevel="5" x14ac:dyDescent="0.2">
      <c r="A186" s="31" t="s">
        <v>190</v>
      </c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14">
        <v>1000</v>
      </c>
      <c r="P186" s="15">
        <v>9200</v>
      </c>
      <c r="Q186" s="23" t="s">
        <v>177</v>
      </c>
    </row>
    <row r="187" spans="1:17" s="23" customFormat="1" ht="15" customHeight="1" outlineLevel="5" x14ac:dyDescent="0.2">
      <c r="A187" s="31" t="s">
        <v>184</v>
      </c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14">
        <v>500</v>
      </c>
      <c r="P187" s="15">
        <v>12065</v>
      </c>
      <c r="Q187" s="23" t="s">
        <v>183</v>
      </c>
    </row>
    <row r="188" spans="1:17" s="23" customFormat="1" ht="15" customHeight="1" outlineLevel="4" x14ac:dyDescent="0.2">
      <c r="A188" s="45" t="s">
        <v>24</v>
      </c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14">
        <v>20500</v>
      </c>
      <c r="P188" s="15">
        <v>169125</v>
      </c>
    </row>
    <row r="189" spans="1:17" s="23" customFormat="1" ht="15" customHeight="1" outlineLevel="4" x14ac:dyDescent="0.2">
      <c r="A189" s="29" t="s">
        <v>186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14">
        <v>1000</v>
      </c>
      <c r="P189" s="15">
        <v>8250</v>
      </c>
    </row>
    <row r="190" spans="1:17" s="23" customFormat="1" ht="15" customHeight="1" outlineLevel="4" x14ac:dyDescent="0.2">
      <c r="A190" s="29" t="s">
        <v>185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14">
        <v>10000</v>
      </c>
      <c r="P190" s="15">
        <v>82500</v>
      </c>
    </row>
    <row r="191" spans="1:17" s="23" customFormat="1" ht="15" customHeight="1" outlineLevel="4" x14ac:dyDescent="0.2">
      <c r="A191" s="29" t="s">
        <v>187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14">
        <v>2000</v>
      </c>
      <c r="P191" s="15">
        <v>16500</v>
      </c>
    </row>
    <row r="192" spans="1:17" s="23" customFormat="1" ht="15" customHeight="1" outlineLevel="4" x14ac:dyDescent="0.2">
      <c r="A192" s="29" t="s">
        <v>188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14">
        <v>7500</v>
      </c>
      <c r="P192" s="15">
        <v>61875</v>
      </c>
    </row>
    <row r="193" spans="1:17" s="23" customFormat="1" ht="15" customHeight="1" outlineLevel="4" x14ac:dyDescent="0.2">
      <c r="A193" s="45" t="s">
        <v>37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14">
        <v>1500</v>
      </c>
      <c r="P193" s="15">
        <v>14795</v>
      </c>
      <c r="Q193" s="23" t="s">
        <v>197</v>
      </c>
    </row>
    <row r="194" spans="1:17" s="23" customFormat="1" ht="15" customHeight="1" outlineLevel="5" x14ac:dyDescent="0.2">
      <c r="A194" s="28" t="s">
        <v>12</v>
      </c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14">
        <v>3650</v>
      </c>
      <c r="P194" s="15">
        <v>15702</v>
      </c>
    </row>
    <row r="195" spans="1:17" s="23" customFormat="1" ht="15" customHeight="1" outlineLevel="5" x14ac:dyDescent="0.2">
      <c r="A195" s="29" t="s">
        <v>195</v>
      </c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14">
        <v>2750</v>
      </c>
      <c r="P195" s="15">
        <v>11907</v>
      </c>
    </row>
    <row r="196" spans="1:17" s="23" customFormat="1" ht="15" customHeight="1" outlineLevel="5" x14ac:dyDescent="0.2">
      <c r="A196" s="29" t="s">
        <v>196</v>
      </c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14">
        <v>750</v>
      </c>
      <c r="P196" s="15">
        <v>3172.5</v>
      </c>
    </row>
    <row r="197" spans="1:17" s="23" customFormat="1" ht="15" customHeight="1" outlineLevel="5" x14ac:dyDescent="0.2">
      <c r="A197" s="29" t="s">
        <v>197</v>
      </c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14">
        <v>150</v>
      </c>
      <c r="P197" s="15">
        <v>622.5</v>
      </c>
    </row>
    <row r="198" spans="1:17" s="23" customFormat="1" ht="15" customHeight="1" outlineLevel="5" x14ac:dyDescent="0.2">
      <c r="A198" s="28" t="s">
        <v>38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14">
        <v>1500</v>
      </c>
      <c r="P198" s="15">
        <v>26475</v>
      </c>
    </row>
    <row r="199" spans="1:17" s="23" customFormat="1" ht="15" customHeight="1" outlineLevel="5" x14ac:dyDescent="0.2">
      <c r="A199" s="29" t="s">
        <v>183</v>
      </c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14">
        <v>500</v>
      </c>
      <c r="P199" s="15">
        <v>7925</v>
      </c>
    </row>
    <row r="200" spans="1:17" s="23" customFormat="1" ht="15" customHeight="1" outlineLevel="5" x14ac:dyDescent="0.2">
      <c r="A200" s="29" t="s">
        <v>185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14">
        <v>1000</v>
      </c>
      <c r="P200" s="15">
        <v>18550</v>
      </c>
    </row>
    <row r="201" spans="1:17" ht="15" customHeight="1" x14ac:dyDescent="0.2">
      <c r="A201" s="33" t="s">
        <v>95</v>
      </c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7">
        <v>14000</v>
      </c>
      <c r="P201" s="8">
        <v>40810</v>
      </c>
    </row>
    <row r="202" spans="1:17" ht="15" customHeight="1" outlineLevel="5" x14ac:dyDescent="0.2">
      <c r="A202" s="32" t="s">
        <v>96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">
        <v>5000</v>
      </c>
      <c r="P202" s="4">
        <v>19750</v>
      </c>
    </row>
    <row r="203" spans="1:17" s="19" customFormat="1" ht="15" customHeight="1" outlineLevel="5" x14ac:dyDescent="0.2">
      <c r="A203" s="32" t="s">
        <v>64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">
        <v>9000</v>
      </c>
      <c r="P203" s="4">
        <v>21060</v>
      </c>
    </row>
    <row r="204" spans="1:17" ht="15" customHeight="1" x14ac:dyDescent="0.2">
      <c r="A204" s="33" t="s">
        <v>97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7">
        <v>15200</v>
      </c>
      <c r="P204" s="8">
        <v>51535</v>
      </c>
    </row>
    <row r="205" spans="1:17" ht="15" customHeight="1" outlineLevel="5" x14ac:dyDescent="0.2">
      <c r="A205" s="32" t="s">
        <v>98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">
        <v>4000</v>
      </c>
      <c r="P205" s="4">
        <v>13800</v>
      </c>
    </row>
    <row r="206" spans="1:17" ht="15" customHeight="1" outlineLevel="5" x14ac:dyDescent="0.2">
      <c r="A206" s="32" t="s">
        <v>99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">
        <v>1000</v>
      </c>
      <c r="P206" s="4">
        <v>3500</v>
      </c>
    </row>
    <row r="207" spans="1:17" ht="15" customHeight="1" outlineLevel="5" x14ac:dyDescent="0.2">
      <c r="A207" s="32" t="s">
        <v>100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5">
        <v>500</v>
      </c>
      <c r="P207" s="4">
        <v>3365</v>
      </c>
    </row>
    <row r="208" spans="1:17" ht="15" customHeight="1" outlineLevel="5" x14ac:dyDescent="0.2">
      <c r="A208" s="32" t="s">
        <v>101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5">
        <v>500</v>
      </c>
      <c r="P208" s="4">
        <v>1490</v>
      </c>
    </row>
    <row r="209" spans="1:16" s="19" customFormat="1" ht="15" customHeight="1" outlineLevel="5" x14ac:dyDescent="0.2">
      <c r="A209" s="32" t="s">
        <v>64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">
        <v>3000</v>
      </c>
      <c r="P209" s="4">
        <v>7020</v>
      </c>
    </row>
    <row r="210" spans="1:16" ht="15" customHeight="1" outlineLevel="5" x14ac:dyDescent="0.2">
      <c r="A210" s="32" t="s">
        <v>102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">
        <v>6000</v>
      </c>
      <c r="P210" s="4">
        <v>19500</v>
      </c>
    </row>
    <row r="211" spans="1:16" ht="15" customHeight="1" outlineLevel="5" x14ac:dyDescent="0.2">
      <c r="A211" s="32" t="s">
        <v>38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5">
        <v>200</v>
      </c>
      <c r="P211" s="4">
        <v>2860</v>
      </c>
    </row>
    <row r="212" spans="1:16" ht="15" customHeight="1" x14ac:dyDescent="0.2">
      <c r="A212" s="33" t="s">
        <v>103</v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9">
        <v>25</v>
      </c>
      <c r="P212" s="8">
        <v>4325.25</v>
      </c>
    </row>
    <row r="213" spans="1:16" ht="15" customHeight="1" outlineLevel="4" x14ac:dyDescent="0.2">
      <c r="A213" s="40" t="s">
        <v>23</v>
      </c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5">
        <v>25</v>
      </c>
      <c r="P213" s="4">
        <v>4325.25</v>
      </c>
    </row>
    <row r="214" spans="1:16" ht="15" customHeight="1" x14ac:dyDescent="0.2">
      <c r="A214" s="33" t="s">
        <v>104</v>
      </c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9">
        <v>100</v>
      </c>
      <c r="P214" s="8">
        <v>17000</v>
      </c>
    </row>
    <row r="215" spans="1:16" ht="15" customHeight="1" outlineLevel="4" x14ac:dyDescent="0.2">
      <c r="A215" s="40" t="s">
        <v>23</v>
      </c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5">
        <v>100</v>
      </c>
      <c r="P215" s="4">
        <v>17000</v>
      </c>
    </row>
    <row r="216" spans="1:16" ht="15" customHeight="1" x14ac:dyDescent="0.2">
      <c r="A216" s="33" t="s">
        <v>105</v>
      </c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7">
        <v>4000</v>
      </c>
      <c r="P216" s="8">
        <v>28200</v>
      </c>
    </row>
    <row r="217" spans="1:16" ht="15" customHeight="1" outlineLevel="4" x14ac:dyDescent="0.2">
      <c r="A217" s="40" t="s">
        <v>24</v>
      </c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3">
        <v>4000</v>
      </c>
      <c r="P217" s="4">
        <v>28200</v>
      </c>
    </row>
    <row r="218" spans="1:16" ht="15" customHeight="1" x14ac:dyDescent="0.2">
      <c r="A218" s="33" t="s">
        <v>106</v>
      </c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7">
        <v>3500</v>
      </c>
      <c r="P218" s="8">
        <v>15650</v>
      </c>
    </row>
    <row r="219" spans="1:16" ht="15" customHeight="1" outlineLevel="5" x14ac:dyDescent="0.2">
      <c r="A219" s="32" t="s">
        <v>107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">
        <v>2000</v>
      </c>
      <c r="P219" s="4">
        <v>7920</v>
      </c>
    </row>
    <row r="220" spans="1:16" ht="15" customHeight="1" outlineLevel="5" x14ac:dyDescent="0.2">
      <c r="A220" s="32" t="s">
        <v>99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">
        <v>1000</v>
      </c>
      <c r="P220" s="4">
        <v>3500</v>
      </c>
    </row>
    <row r="221" spans="1:16" ht="15" customHeight="1" outlineLevel="4" x14ac:dyDescent="0.2">
      <c r="A221" s="40" t="s">
        <v>37</v>
      </c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5">
        <v>500</v>
      </c>
      <c r="P221" s="4">
        <v>4230</v>
      </c>
    </row>
    <row r="222" spans="1:16" ht="15" customHeight="1" x14ac:dyDescent="0.2">
      <c r="A222" s="33" t="s">
        <v>108</v>
      </c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7">
        <v>8750</v>
      </c>
      <c r="P222" s="8">
        <v>61961</v>
      </c>
    </row>
    <row r="223" spans="1:16" ht="15" customHeight="1" outlineLevel="5" x14ac:dyDescent="0.2">
      <c r="A223" s="32" t="s">
        <v>107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">
        <v>4000</v>
      </c>
      <c r="P223" s="4">
        <v>15840</v>
      </c>
    </row>
    <row r="224" spans="1:16" ht="15" customHeight="1" outlineLevel="5" x14ac:dyDescent="0.2">
      <c r="A224" s="32" t="s">
        <v>99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">
        <v>1000</v>
      </c>
      <c r="P224" s="4">
        <v>3500</v>
      </c>
    </row>
    <row r="225" spans="1:16" ht="15" customHeight="1" outlineLevel="5" x14ac:dyDescent="0.2">
      <c r="A225" s="32" t="s">
        <v>30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">
        <v>2500</v>
      </c>
      <c r="P225" s="4">
        <v>18250</v>
      </c>
    </row>
    <row r="226" spans="1:16" ht="15" customHeight="1" outlineLevel="5" x14ac:dyDescent="0.2">
      <c r="A226" s="47" t="s">
        <v>173</v>
      </c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3">
        <v>850</v>
      </c>
      <c r="P226" s="4">
        <v>20987</v>
      </c>
    </row>
    <row r="227" spans="1:16" ht="15" customHeight="1" outlineLevel="4" x14ac:dyDescent="0.2">
      <c r="A227" s="40" t="s">
        <v>37</v>
      </c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5">
        <v>400</v>
      </c>
      <c r="P227" s="4">
        <v>3384</v>
      </c>
    </row>
    <row r="228" spans="1:16" ht="15" customHeight="1" x14ac:dyDescent="0.2">
      <c r="A228" s="33" t="s">
        <v>109</v>
      </c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7">
        <v>2000</v>
      </c>
      <c r="P228" s="8">
        <v>3200</v>
      </c>
    </row>
    <row r="229" spans="1:16" ht="15" customHeight="1" outlineLevel="6" x14ac:dyDescent="0.2">
      <c r="A229" s="44" t="s">
        <v>33</v>
      </c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3">
        <v>2000</v>
      </c>
      <c r="P229" s="4">
        <v>3200</v>
      </c>
    </row>
    <row r="230" spans="1:16" ht="15" customHeight="1" x14ac:dyDescent="0.2">
      <c r="A230" s="33" t="s">
        <v>110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7">
        <v>2000</v>
      </c>
      <c r="P230" s="8">
        <v>30920</v>
      </c>
    </row>
    <row r="231" spans="1:16" ht="15" customHeight="1" outlineLevel="5" x14ac:dyDescent="0.2">
      <c r="A231" s="32" t="s">
        <v>38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">
        <v>2000</v>
      </c>
      <c r="P231" s="4">
        <v>30920</v>
      </c>
    </row>
    <row r="232" spans="1:16" ht="15" customHeight="1" x14ac:dyDescent="0.2">
      <c r="A232" s="33" t="s">
        <v>111</v>
      </c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7">
        <v>5100</v>
      </c>
      <c r="P232" s="8">
        <v>22626</v>
      </c>
    </row>
    <row r="233" spans="1:16" ht="15" customHeight="1" outlineLevel="5" x14ac:dyDescent="0.2">
      <c r="A233" s="32" t="s">
        <v>74</v>
      </c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5">
        <v>700</v>
      </c>
      <c r="P233" s="4">
        <v>5110</v>
      </c>
    </row>
    <row r="234" spans="1:16" ht="15" customHeight="1" outlineLevel="4" x14ac:dyDescent="0.2">
      <c r="A234" s="40" t="s">
        <v>37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5">
        <v>400</v>
      </c>
      <c r="P234" s="4">
        <v>3396</v>
      </c>
    </row>
    <row r="235" spans="1:16" ht="15" customHeight="1" outlineLevel="5" x14ac:dyDescent="0.2">
      <c r="A235" s="32" t="s">
        <v>12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">
        <v>4000</v>
      </c>
      <c r="P235" s="4">
        <v>14120</v>
      </c>
    </row>
    <row r="236" spans="1:16" ht="15" customHeight="1" x14ac:dyDescent="0.2">
      <c r="A236" s="33" t="s">
        <v>112</v>
      </c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7">
        <v>8000</v>
      </c>
      <c r="P236" s="8">
        <v>33420</v>
      </c>
    </row>
    <row r="237" spans="1:16" ht="15" customHeight="1" outlineLevel="5" x14ac:dyDescent="0.2">
      <c r="A237" s="32" t="s">
        <v>113</v>
      </c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">
        <v>6000</v>
      </c>
      <c r="P237" s="4">
        <v>28020</v>
      </c>
    </row>
    <row r="238" spans="1:16" ht="15" customHeight="1" outlineLevel="5" x14ac:dyDescent="0.2">
      <c r="A238" s="32" t="s">
        <v>114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">
        <v>2000</v>
      </c>
      <c r="P238" s="4">
        <v>5400</v>
      </c>
    </row>
    <row r="239" spans="1:16" ht="15" customHeight="1" x14ac:dyDescent="0.2">
      <c r="A239" s="33" t="s">
        <v>115</v>
      </c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7">
        <v>5500</v>
      </c>
      <c r="P239" s="8">
        <v>33935</v>
      </c>
    </row>
    <row r="240" spans="1:16" ht="15" customHeight="1" outlineLevel="5" x14ac:dyDescent="0.2">
      <c r="A240" s="32" t="s">
        <v>12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">
        <v>4000</v>
      </c>
      <c r="P240" s="4">
        <v>14120</v>
      </c>
    </row>
    <row r="241" spans="1:19" ht="15" customHeight="1" outlineLevel="5" x14ac:dyDescent="0.2">
      <c r="A241" s="32" t="s">
        <v>38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">
        <v>1500</v>
      </c>
      <c r="P241" s="4">
        <v>19815</v>
      </c>
    </row>
    <row r="242" spans="1:19" ht="15" customHeight="1" x14ac:dyDescent="0.2">
      <c r="A242" s="33" t="s">
        <v>116</v>
      </c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9">
        <v>25</v>
      </c>
      <c r="P242" s="8">
        <v>4615.25</v>
      </c>
    </row>
    <row r="243" spans="1:19" ht="15" customHeight="1" outlineLevel="4" x14ac:dyDescent="0.2">
      <c r="A243" s="40" t="s">
        <v>23</v>
      </c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5">
        <v>25</v>
      </c>
      <c r="P243" s="4">
        <v>4615.25</v>
      </c>
    </row>
    <row r="244" spans="1:19" ht="15" customHeight="1" x14ac:dyDescent="0.2">
      <c r="A244" s="33" t="s">
        <v>117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7">
        <v>7750</v>
      </c>
      <c r="P244" s="8">
        <v>60847.5</v>
      </c>
      <c r="R244" s="16"/>
      <c r="S244" s="17"/>
    </row>
    <row r="245" spans="1:19" ht="15" customHeight="1" outlineLevel="5" x14ac:dyDescent="0.2">
      <c r="A245" s="32" t="s">
        <v>118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">
        <v>2000</v>
      </c>
      <c r="P245" s="4">
        <v>7080</v>
      </c>
    </row>
    <row r="246" spans="1:19" ht="15" customHeight="1" outlineLevel="5" x14ac:dyDescent="0.2">
      <c r="A246" s="32" t="s">
        <v>119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">
        <v>1500</v>
      </c>
      <c r="P246" s="4">
        <v>23115</v>
      </c>
    </row>
    <row r="247" spans="1:19" ht="15" customHeight="1" outlineLevel="5" x14ac:dyDescent="0.2">
      <c r="A247" s="32" t="s">
        <v>120</v>
      </c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">
        <v>1000</v>
      </c>
      <c r="P247" s="4">
        <v>5200</v>
      </c>
    </row>
    <row r="248" spans="1:19" ht="15" customHeight="1" outlineLevel="4" x14ac:dyDescent="0.2">
      <c r="A248" s="40" t="s">
        <v>24</v>
      </c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3">
        <v>3000</v>
      </c>
      <c r="P248" s="4">
        <v>23400</v>
      </c>
    </row>
    <row r="249" spans="1:19" ht="15" customHeight="1" outlineLevel="4" x14ac:dyDescent="0.2">
      <c r="A249" s="45" t="s">
        <v>37</v>
      </c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14">
        <v>250</v>
      </c>
      <c r="P249" s="15">
        <v>2052.5</v>
      </c>
    </row>
    <row r="250" spans="1:19" ht="15" customHeight="1" x14ac:dyDescent="0.2">
      <c r="A250" s="33" t="s">
        <v>121</v>
      </c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7">
        <v>1000</v>
      </c>
      <c r="P250" s="8">
        <v>2980</v>
      </c>
    </row>
    <row r="251" spans="1:19" ht="15" customHeight="1" outlineLevel="5" x14ac:dyDescent="0.2">
      <c r="A251" s="32" t="s">
        <v>122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">
        <v>1000</v>
      </c>
      <c r="P251" s="4">
        <v>2980</v>
      </c>
    </row>
    <row r="252" spans="1:19" ht="15" customHeight="1" x14ac:dyDescent="0.2">
      <c r="A252" s="33" t="s">
        <v>123</v>
      </c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7">
        <v>1950</v>
      </c>
      <c r="P252" s="8">
        <v>16835</v>
      </c>
    </row>
    <row r="253" spans="1:19" ht="15" customHeight="1" outlineLevel="4" x14ac:dyDescent="0.2">
      <c r="A253" s="40" t="s">
        <v>48</v>
      </c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3">
        <v>1600</v>
      </c>
      <c r="P253" s="4">
        <v>11424</v>
      </c>
    </row>
    <row r="254" spans="1:19" ht="15" customHeight="1" outlineLevel="5" x14ac:dyDescent="0.2">
      <c r="A254" s="32" t="s">
        <v>38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5">
        <v>350</v>
      </c>
      <c r="P254" s="4">
        <v>5411</v>
      </c>
    </row>
    <row r="255" spans="1:19" ht="15" customHeight="1" x14ac:dyDescent="0.2">
      <c r="A255" s="33" t="s">
        <v>124</v>
      </c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9">
        <v>100</v>
      </c>
      <c r="P255" s="8">
        <v>17301</v>
      </c>
    </row>
    <row r="256" spans="1:19" ht="15" customHeight="1" outlineLevel="4" x14ac:dyDescent="0.2">
      <c r="A256" s="40" t="s">
        <v>23</v>
      </c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5">
        <v>100</v>
      </c>
      <c r="P256" s="4">
        <v>17301</v>
      </c>
    </row>
    <row r="257" spans="1:16" ht="15" customHeight="1" x14ac:dyDescent="0.2">
      <c r="A257" s="33" t="s">
        <v>125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7">
        <v>3000</v>
      </c>
      <c r="P257" s="8">
        <v>8760</v>
      </c>
    </row>
    <row r="258" spans="1:16" ht="15" customHeight="1" outlineLevel="5" x14ac:dyDescent="0.2">
      <c r="A258" s="32" t="s">
        <v>126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">
        <v>3000</v>
      </c>
      <c r="P258" s="4">
        <v>8760</v>
      </c>
    </row>
    <row r="259" spans="1:16" ht="15" customHeight="1" x14ac:dyDescent="0.2">
      <c r="A259" s="33" t="s">
        <v>127</v>
      </c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9">
        <v>5</v>
      </c>
      <c r="P259" s="10">
        <v>903</v>
      </c>
    </row>
    <row r="260" spans="1:16" ht="15" customHeight="1" outlineLevel="4" x14ac:dyDescent="0.2">
      <c r="A260" s="40" t="s">
        <v>23</v>
      </c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5">
        <v>5</v>
      </c>
      <c r="P260" s="6">
        <v>903</v>
      </c>
    </row>
    <row r="261" spans="1:16" ht="15" customHeight="1" x14ac:dyDescent="0.2">
      <c r="A261" s="33" t="s">
        <v>128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7">
        <v>2100</v>
      </c>
      <c r="P261" s="8">
        <v>6588</v>
      </c>
    </row>
    <row r="262" spans="1:16" ht="15" customHeight="1" outlineLevel="5" x14ac:dyDescent="0.2">
      <c r="A262" s="32" t="s">
        <v>129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">
        <v>1500</v>
      </c>
      <c r="P262" s="4">
        <v>4470</v>
      </c>
    </row>
    <row r="263" spans="1:16" ht="15" customHeight="1" outlineLevel="5" x14ac:dyDescent="0.2">
      <c r="A263" s="32" t="s">
        <v>12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5">
        <v>600</v>
      </c>
      <c r="P263" s="4">
        <v>2118</v>
      </c>
    </row>
    <row r="264" spans="1:16" ht="15" customHeight="1" x14ac:dyDescent="0.2">
      <c r="A264" s="33" t="s">
        <v>130</v>
      </c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7">
        <v>19600</v>
      </c>
      <c r="P264" s="8">
        <v>231900</v>
      </c>
    </row>
    <row r="265" spans="1:16" ht="15" customHeight="1" outlineLevel="5" x14ac:dyDescent="0.2">
      <c r="A265" s="32" t="s">
        <v>86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">
        <v>3000</v>
      </c>
      <c r="P265" s="4">
        <v>25800</v>
      </c>
    </row>
    <row r="266" spans="1:16" ht="15" customHeight="1" outlineLevel="5" x14ac:dyDescent="0.2">
      <c r="A266" s="32" t="s">
        <v>131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">
        <v>5000</v>
      </c>
      <c r="P266" s="4">
        <v>68750</v>
      </c>
    </row>
    <row r="267" spans="1:16" ht="15" customHeight="1" outlineLevel="5" x14ac:dyDescent="0.2">
      <c r="A267" s="32" t="s">
        <v>132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">
        <v>2500</v>
      </c>
      <c r="P267" s="4">
        <v>34375</v>
      </c>
    </row>
    <row r="268" spans="1:16" ht="15" customHeight="1" outlineLevel="5" x14ac:dyDescent="0.2">
      <c r="A268" s="32" t="s">
        <v>133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">
        <v>5000</v>
      </c>
      <c r="P268" s="4">
        <v>68750</v>
      </c>
    </row>
    <row r="269" spans="1:16" ht="15" customHeight="1" outlineLevel="5" x14ac:dyDescent="0.2">
      <c r="A269" s="32" t="s">
        <v>30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">
        <v>2000</v>
      </c>
      <c r="P269" s="4">
        <v>14600</v>
      </c>
    </row>
    <row r="270" spans="1:16" ht="15" customHeight="1" outlineLevel="5" x14ac:dyDescent="0.2">
      <c r="A270" s="32" t="s">
        <v>74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">
        <v>1000</v>
      </c>
      <c r="P270" s="4">
        <v>7300</v>
      </c>
    </row>
    <row r="271" spans="1:16" ht="15" customHeight="1" outlineLevel="4" x14ac:dyDescent="0.2">
      <c r="A271" s="40" t="s">
        <v>37</v>
      </c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5">
        <v>700</v>
      </c>
      <c r="P271" s="4">
        <v>5901</v>
      </c>
    </row>
    <row r="272" spans="1:16" ht="15" customHeight="1" outlineLevel="4" x14ac:dyDescent="0.2">
      <c r="A272" s="40" t="s">
        <v>87</v>
      </c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5">
        <v>400</v>
      </c>
      <c r="P272" s="4">
        <v>6424</v>
      </c>
    </row>
    <row r="273" spans="1:16" ht="15" customHeight="1" x14ac:dyDescent="0.2">
      <c r="A273" s="33" t="s">
        <v>134</v>
      </c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9">
        <v>250</v>
      </c>
      <c r="P273" s="8">
        <v>43252.5</v>
      </c>
    </row>
    <row r="274" spans="1:16" ht="15" customHeight="1" outlineLevel="4" x14ac:dyDescent="0.2">
      <c r="A274" s="40" t="s">
        <v>23</v>
      </c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5">
        <v>250</v>
      </c>
      <c r="P274" s="4">
        <v>43252.5</v>
      </c>
    </row>
    <row r="275" spans="1:16" ht="15" customHeight="1" x14ac:dyDescent="0.2">
      <c r="A275" s="33" t="s">
        <v>135</v>
      </c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7">
        <v>1000</v>
      </c>
      <c r="P275" s="8">
        <v>11600</v>
      </c>
    </row>
    <row r="276" spans="1:16" ht="15" customHeight="1" outlineLevel="5" x14ac:dyDescent="0.2">
      <c r="A276" s="32" t="s">
        <v>136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5">
        <v>500</v>
      </c>
      <c r="P276" s="4">
        <v>2025</v>
      </c>
    </row>
    <row r="277" spans="1:16" ht="15" customHeight="1" outlineLevel="5" x14ac:dyDescent="0.2">
      <c r="A277" s="32" t="s">
        <v>137</v>
      </c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5">
        <v>500</v>
      </c>
      <c r="P277" s="4">
        <v>9575</v>
      </c>
    </row>
    <row r="278" spans="1:16" ht="15" customHeight="1" x14ac:dyDescent="0.2">
      <c r="A278" s="33" t="s">
        <v>138</v>
      </c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9">
        <v>25</v>
      </c>
      <c r="P278" s="8">
        <v>4250</v>
      </c>
    </row>
    <row r="279" spans="1:16" ht="15" customHeight="1" outlineLevel="4" x14ac:dyDescent="0.2">
      <c r="A279" s="40" t="s">
        <v>23</v>
      </c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5">
        <v>25</v>
      </c>
      <c r="P279" s="4">
        <v>4250</v>
      </c>
    </row>
    <row r="280" spans="1:16" ht="15" customHeight="1" x14ac:dyDescent="0.2">
      <c r="A280" s="33" t="s">
        <v>139</v>
      </c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7">
        <v>24000</v>
      </c>
      <c r="P280" s="8">
        <v>119130</v>
      </c>
    </row>
    <row r="281" spans="1:16" ht="15" customHeight="1" outlineLevel="5" x14ac:dyDescent="0.2">
      <c r="A281" s="32" t="s">
        <v>12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">
        <v>21000</v>
      </c>
      <c r="P281" s="4">
        <v>76230</v>
      </c>
    </row>
    <row r="282" spans="1:16" ht="15" customHeight="1" outlineLevel="5" x14ac:dyDescent="0.2">
      <c r="A282" s="32" t="s">
        <v>38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">
        <v>3000</v>
      </c>
      <c r="P282" s="4">
        <v>42900</v>
      </c>
    </row>
    <row r="283" spans="1:16" ht="15" customHeight="1" x14ac:dyDescent="0.2">
      <c r="A283" s="33" t="s">
        <v>140</v>
      </c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7">
        <v>4000</v>
      </c>
      <c r="P283" s="8">
        <v>33720</v>
      </c>
    </row>
    <row r="284" spans="1:16" ht="15" customHeight="1" outlineLevel="4" x14ac:dyDescent="0.2">
      <c r="A284" s="40" t="s">
        <v>37</v>
      </c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3">
        <v>4000</v>
      </c>
      <c r="P284" s="4">
        <v>33720</v>
      </c>
    </row>
    <row r="285" spans="1:16" ht="15" customHeight="1" x14ac:dyDescent="0.2">
      <c r="A285" s="33" t="s">
        <v>141</v>
      </c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7">
        <v>2000</v>
      </c>
      <c r="P285" s="8">
        <v>7060</v>
      </c>
    </row>
    <row r="286" spans="1:16" ht="15" customHeight="1" outlineLevel="5" x14ac:dyDescent="0.2">
      <c r="A286" s="32" t="s">
        <v>12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">
        <v>2000</v>
      </c>
      <c r="P286" s="4">
        <v>7060</v>
      </c>
    </row>
    <row r="287" spans="1:16" ht="15" customHeight="1" x14ac:dyDescent="0.2">
      <c r="A287" s="33" t="s">
        <v>142</v>
      </c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7">
        <v>17000</v>
      </c>
      <c r="P287" s="8">
        <v>64250</v>
      </c>
    </row>
    <row r="288" spans="1:16" ht="15" customHeight="1" outlineLevel="6" x14ac:dyDescent="0.2">
      <c r="A288" s="44" t="s">
        <v>33</v>
      </c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3">
        <v>5000</v>
      </c>
      <c r="P288" s="4">
        <v>8000</v>
      </c>
    </row>
    <row r="289" spans="1:16" ht="15" customHeight="1" outlineLevel="6" x14ac:dyDescent="0.2">
      <c r="A289" s="44" t="s">
        <v>84</v>
      </c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3">
        <v>5000</v>
      </c>
      <c r="P289" s="4">
        <v>8000</v>
      </c>
    </row>
    <row r="290" spans="1:16" ht="15" customHeight="1" outlineLevel="5" x14ac:dyDescent="0.2">
      <c r="A290" s="32" t="s">
        <v>30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">
        <v>2000</v>
      </c>
      <c r="P290" s="4">
        <v>14600</v>
      </c>
    </row>
    <row r="291" spans="1:16" ht="15" customHeight="1" outlineLevel="5" x14ac:dyDescent="0.2">
      <c r="A291" s="32" t="s">
        <v>143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">
        <v>5000</v>
      </c>
      <c r="P291" s="4">
        <v>33650</v>
      </c>
    </row>
    <row r="292" spans="1:16" ht="15" customHeight="1" x14ac:dyDescent="0.2">
      <c r="A292" s="33" t="s">
        <v>144</v>
      </c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7">
        <v>8025</v>
      </c>
      <c r="P292" s="8">
        <v>17050</v>
      </c>
    </row>
    <row r="293" spans="1:16" ht="15" customHeight="1" outlineLevel="6" x14ac:dyDescent="0.2">
      <c r="A293" s="44" t="s">
        <v>33</v>
      </c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3">
        <v>8000</v>
      </c>
      <c r="P293" s="4">
        <v>12800</v>
      </c>
    </row>
    <row r="294" spans="1:16" ht="15" customHeight="1" outlineLevel="4" x14ac:dyDescent="0.2">
      <c r="A294" s="40" t="s">
        <v>23</v>
      </c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5">
        <v>25</v>
      </c>
      <c r="P294" s="4">
        <v>4250</v>
      </c>
    </row>
    <row r="295" spans="1:16" ht="15" customHeight="1" x14ac:dyDescent="0.2">
      <c r="A295" s="33" t="s">
        <v>145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7">
        <v>1000</v>
      </c>
      <c r="P295" s="8">
        <v>7300</v>
      </c>
    </row>
    <row r="296" spans="1:16" ht="15" customHeight="1" outlineLevel="5" x14ac:dyDescent="0.2">
      <c r="A296" s="32" t="s">
        <v>30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">
        <v>1000</v>
      </c>
      <c r="P296" s="4">
        <v>7300</v>
      </c>
    </row>
    <row r="297" spans="1:16" ht="15" customHeight="1" x14ac:dyDescent="0.2">
      <c r="A297" s="33" t="s">
        <v>146</v>
      </c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7">
        <v>4100</v>
      </c>
      <c r="P297" s="8">
        <v>33868</v>
      </c>
    </row>
    <row r="298" spans="1:16" ht="15" customHeight="1" outlineLevel="5" x14ac:dyDescent="0.2">
      <c r="A298" s="32" t="s">
        <v>30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5">
        <v>600</v>
      </c>
      <c r="P298" s="4">
        <v>4380</v>
      </c>
    </row>
    <row r="299" spans="1:16" ht="15" customHeight="1" outlineLevel="5" x14ac:dyDescent="0.2">
      <c r="A299" s="32" t="s">
        <v>74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5">
        <v>900</v>
      </c>
      <c r="P299" s="4">
        <v>6570</v>
      </c>
    </row>
    <row r="300" spans="1:16" ht="15" customHeight="1" outlineLevel="5" x14ac:dyDescent="0.2">
      <c r="A300" s="32" t="s">
        <v>147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">
        <v>1600</v>
      </c>
      <c r="P300" s="4">
        <v>10768</v>
      </c>
    </row>
    <row r="301" spans="1:16" ht="15" customHeight="1" outlineLevel="5" x14ac:dyDescent="0.2">
      <c r="A301" s="32" t="s">
        <v>148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">
        <v>1000</v>
      </c>
      <c r="P301" s="4">
        <v>12150</v>
      </c>
    </row>
    <row r="302" spans="1:16" ht="15" customHeight="1" x14ac:dyDescent="0.2">
      <c r="A302" s="33" t="s">
        <v>149</v>
      </c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7">
        <v>31900</v>
      </c>
      <c r="P302" s="8">
        <v>104639</v>
      </c>
    </row>
    <row r="303" spans="1:16" ht="15" customHeight="1" outlineLevel="5" x14ac:dyDescent="0.2">
      <c r="A303" s="32" t="s">
        <v>150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">
        <v>2000</v>
      </c>
      <c r="P303" s="4">
        <v>10120</v>
      </c>
    </row>
    <row r="304" spans="1:16" ht="15" customHeight="1" outlineLevel="5" x14ac:dyDescent="0.2">
      <c r="A304" s="32" t="s">
        <v>151</v>
      </c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">
        <v>1000</v>
      </c>
      <c r="P304" s="4">
        <v>6730</v>
      </c>
    </row>
    <row r="305" spans="1:16" ht="15" customHeight="1" outlineLevel="5" x14ac:dyDescent="0.2">
      <c r="A305" s="32" t="s">
        <v>152</v>
      </c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">
        <v>5000</v>
      </c>
      <c r="P305" s="4">
        <v>13550</v>
      </c>
    </row>
    <row r="306" spans="1:16" ht="15" customHeight="1" outlineLevel="5" x14ac:dyDescent="0.2">
      <c r="A306" s="32" t="s">
        <v>153</v>
      </c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">
        <v>16000</v>
      </c>
      <c r="P306" s="4">
        <v>43360</v>
      </c>
    </row>
    <row r="307" spans="1:16" ht="15" customHeight="1" outlineLevel="5" x14ac:dyDescent="0.2">
      <c r="A307" s="32" t="s">
        <v>154</v>
      </c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">
        <v>7000</v>
      </c>
      <c r="P307" s="4">
        <v>18970</v>
      </c>
    </row>
    <row r="308" spans="1:16" ht="15" customHeight="1" outlineLevel="5" x14ac:dyDescent="0.2">
      <c r="A308" s="32" t="s">
        <v>155</v>
      </c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5">
        <v>500</v>
      </c>
      <c r="P308" s="4">
        <v>5725</v>
      </c>
    </row>
    <row r="309" spans="1:16" ht="15" customHeight="1" outlineLevel="5" x14ac:dyDescent="0.2">
      <c r="A309" s="32" t="s">
        <v>38</v>
      </c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5">
        <v>400</v>
      </c>
      <c r="P309" s="4">
        <v>6184</v>
      </c>
    </row>
    <row r="310" spans="1:16" ht="15" customHeight="1" x14ac:dyDescent="0.2">
      <c r="A310" s="33" t="s">
        <v>156</v>
      </c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7">
        <v>1000</v>
      </c>
      <c r="P310" s="8">
        <v>4860</v>
      </c>
    </row>
    <row r="311" spans="1:16" ht="15" customHeight="1" outlineLevel="5" x14ac:dyDescent="0.2">
      <c r="A311" s="32" t="s">
        <v>67</v>
      </c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">
        <v>1000</v>
      </c>
      <c r="P311" s="4">
        <v>4860</v>
      </c>
    </row>
  </sheetData>
  <mergeCells count="314">
    <mergeCell ref="A143:N143"/>
    <mergeCell ref="A144:N144"/>
    <mergeCell ref="A136:N136"/>
    <mergeCell ref="A137:N137"/>
    <mergeCell ref="A133:N133"/>
    <mergeCell ref="A134:N134"/>
    <mergeCell ref="A151:N151"/>
    <mergeCell ref="A140:N140"/>
    <mergeCell ref="A115:N115"/>
    <mergeCell ref="A116:N116"/>
    <mergeCell ref="A117:N117"/>
    <mergeCell ref="A127:N127"/>
    <mergeCell ref="A123:N123"/>
    <mergeCell ref="A145:N145"/>
    <mergeCell ref="A146:N146"/>
    <mergeCell ref="A147:N147"/>
    <mergeCell ref="A149:N149"/>
    <mergeCell ref="A150:N150"/>
    <mergeCell ref="A148:N148"/>
    <mergeCell ref="A111:N111"/>
    <mergeCell ref="A121:N121"/>
    <mergeCell ref="A122:N122"/>
    <mergeCell ref="A142:N142"/>
    <mergeCell ref="A311:N311"/>
    <mergeCell ref="A307:N307"/>
    <mergeCell ref="A308:N308"/>
    <mergeCell ref="A309:N309"/>
    <mergeCell ref="A310:N310"/>
    <mergeCell ref="A303:N303"/>
    <mergeCell ref="A304:N304"/>
    <mergeCell ref="A305:N305"/>
    <mergeCell ref="A306:N306"/>
    <mergeCell ref="A301:N301"/>
    <mergeCell ref="A302:N302"/>
    <mergeCell ref="A299:N299"/>
    <mergeCell ref="A300:N300"/>
    <mergeCell ref="A297:N297"/>
    <mergeCell ref="A298:N298"/>
    <mergeCell ref="A295:N295"/>
    <mergeCell ref="A296:N296"/>
    <mergeCell ref="A293:N293"/>
    <mergeCell ref="A294:N294"/>
    <mergeCell ref="A291:N291"/>
    <mergeCell ref="A292:N292"/>
    <mergeCell ref="A290:N290"/>
    <mergeCell ref="A288:N288"/>
    <mergeCell ref="A289:N289"/>
    <mergeCell ref="A286:N286"/>
    <mergeCell ref="A287:N287"/>
    <mergeCell ref="A284:N284"/>
    <mergeCell ref="A285:N285"/>
    <mergeCell ref="A282:N282"/>
    <mergeCell ref="A283:N283"/>
    <mergeCell ref="A280:N280"/>
    <mergeCell ref="A281:N281"/>
    <mergeCell ref="A278:N278"/>
    <mergeCell ref="A279:N279"/>
    <mergeCell ref="A276:N276"/>
    <mergeCell ref="A277:N277"/>
    <mergeCell ref="A273:N273"/>
    <mergeCell ref="A274:N274"/>
    <mergeCell ref="A275:N275"/>
    <mergeCell ref="A271:N271"/>
    <mergeCell ref="A272:N272"/>
    <mergeCell ref="A270:N270"/>
    <mergeCell ref="A267:N267"/>
    <mergeCell ref="A268:N268"/>
    <mergeCell ref="A269:N269"/>
    <mergeCell ref="A265:N265"/>
    <mergeCell ref="A266:N266"/>
    <mergeCell ref="A263:N263"/>
    <mergeCell ref="A264:N264"/>
    <mergeCell ref="A262:N262"/>
    <mergeCell ref="A259:N259"/>
    <mergeCell ref="A260:N260"/>
    <mergeCell ref="A261:N261"/>
    <mergeCell ref="A257:N257"/>
    <mergeCell ref="A258:N258"/>
    <mergeCell ref="A255:N255"/>
    <mergeCell ref="A256:N256"/>
    <mergeCell ref="A254:N254"/>
    <mergeCell ref="A253:N253"/>
    <mergeCell ref="A251:N251"/>
    <mergeCell ref="A252:N252"/>
    <mergeCell ref="A249:N249"/>
    <mergeCell ref="A250:N250"/>
    <mergeCell ref="A248:N248"/>
    <mergeCell ref="A245:N245"/>
    <mergeCell ref="A246:N246"/>
    <mergeCell ref="A247:N247"/>
    <mergeCell ref="A243:N243"/>
    <mergeCell ref="A244:N244"/>
    <mergeCell ref="A241:N241"/>
    <mergeCell ref="A242:N242"/>
    <mergeCell ref="A239:N239"/>
    <mergeCell ref="A240:N240"/>
    <mergeCell ref="A238:N238"/>
    <mergeCell ref="A236:N236"/>
    <mergeCell ref="A237:N237"/>
    <mergeCell ref="A235:N235"/>
    <mergeCell ref="A234:N234"/>
    <mergeCell ref="A232:N232"/>
    <mergeCell ref="A233:N233"/>
    <mergeCell ref="A230:N230"/>
    <mergeCell ref="A231:N231"/>
    <mergeCell ref="A228:N228"/>
    <mergeCell ref="A229:N229"/>
    <mergeCell ref="A225:N225"/>
    <mergeCell ref="A227:N227"/>
    <mergeCell ref="A226:N226"/>
    <mergeCell ref="A223:N223"/>
    <mergeCell ref="A224:N224"/>
    <mergeCell ref="A221:N221"/>
    <mergeCell ref="A222:N222"/>
    <mergeCell ref="A219:N219"/>
    <mergeCell ref="A220:N220"/>
    <mergeCell ref="A217:N217"/>
    <mergeCell ref="A218:N218"/>
    <mergeCell ref="A214:N214"/>
    <mergeCell ref="A215:N215"/>
    <mergeCell ref="A216:N216"/>
    <mergeCell ref="A212:N212"/>
    <mergeCell ref="A213:N213"/>
    <mergeCell ref="A201:N201"/>
    <mergeCell ref="A202:N202"/>
    <mergeCell ref="A203:N203"/>
    <mergeCell ref="A204:N204"/>
    <mergeCell ref="A205:N205"/>
    <mergeCell ref="A206:N206"/>
    <mergeCell ref="A207:N207"/>
    <mergeCell ref="A208:N208"/>
    <mergeCell ref="A209:N209"/>
    <mergeCell ref="A188:N188"/>
    <mergeCell ref="A193:N193"/>
    <mergeCell ref="A183:N183"/>
    <mergeCell ref="A194:N194"/>
    <mergeCell ref="A198:N198"/>
    <mergeCell ref="A210:N210"/>
    <mergeCell ref="A211:N211"/>
    <mergeCell ref="A182:N182"/>
    <mergeCell ref="A199:N199"/>
    <mergeCell ref="A200:N200"/>
    <mergeCell ref="A189:N189"/>
    <mergeCell ref="A190:N190"/>
    <mergeCell ref="A191:N191"/>
    <mergeCell ref="A192:N192"/>
    <mergeCell ref="A186:N186"/>
    <mergeCell ref="A195:N195"/>
    <mergeCell ref="A196:N196"/>
    <mergeCell ref="A197:N197"/>
    <mergeCell ref="A185:N185"/>
    <mergeCell ref="A152:N152"/>
    <mergeCell ref="A154:N154"/>
    <mergeCell ref="A159:N159"/>
    <mergeCell ref="A169:N169"/>
    <mergeCell ref="A160:N160"/>
    <mergeCell ref="A156:N156"/>
    <mergeCell ref="A161:N161"/>
    <mergeCell ref="A155:N155"/>
    <mergeCell ref="A163:N163"/>
    <mergeCell ref="A158:N158"/>
    <mergeCell ref="A165:N165"/>
    <mergeCell ref="A162:N162"/>
    <mergeCell ref="A166:N166"/>
    <mergeCell ref="A167:N167"/>
    <mergeCell ref="A168:N168"/>
    <mergeCell ref="A157:N157"/>
    <mergeCell ref="A153:N153"/>
    <mergeCell ref="A105:N105"/>
    <mergeCell ref="A106:N106"/>
    <mergeCell ref="A110:N110"/>
    <mergeCell ref="A126:N126"/>
    <mergeCell ref="A132:N132"/>
    <mergeCell ref="A135:N135"/>
    <mergeCell ref="A138:N138"/>
    <mergeCell ref="A139:N139"/>
    <mergeCell ref="A141:N141"/>
    <mergeCell ref="A129:N129"/>
    <mergeCell ref="A130:N130"/>
    <mergeCell ref="A131:N131"/>
    <mergeCell ref="A112:N112"/>
    <mergeCell ref="A114:N114"/>
    <mergeCell ref="A128:N128"/>
    <mergeCell ref="A107:N107"/>
    <mergeCell ref="A108:N108"/>
    <mergeCell ref="A109:N109"/>
    <mergeCell ref="A124:N124"/>
    <mergeCell ref="A125:N125"/>
    <mergeCell ref="A113:N113"/>
    <mergeCell ref="A118:N118"/>
    <mergeCell ref="A119:N119"/>
    <mergeCell ref="A120:N120"/>
    <mergeCell ref="A93:N93"/>
    <mergeCell ref="A98:N98"/>
    <mergeCell ref="A99:N99"/>
    <mergeCell ref="A100:N100"/>
    <mergeCell ref="A101:N101"/>
    <mergeCell ref="A102:N102"/>
    <mergeCell ref="A103:N103"/>
    <mergeCell ref="A104:N104"/>
    <mergeCell ref="A94:N94"/>
    <mergeCell ref="A95:N95"/>
    <mergeCell ref="A97:N97"/>
    <mergeCell ref="A96:N96"/>
    <mergeCell ref="A84:N84"/>
    <mergeCell ref="A85:N85"/>
    <mergeCell ref="A86:N86"/>
    <mergeCell ref="A87:N87"/>
    <mergeCell ref="A88:N88"/>
    <mergeCell ref="A89:N89"/>
    <mergeCell ref="A90:N90"/>
    <mergeCell ref="A91:N91"/>
    <mergeCell ref="A92:N92"/>
    <mergeCell ref="A75:N75"/>
    <mergeCell ref="A76:N76"/>
    <mergeCell ref="A77:N77"/>
    <mergeCell ref="A78:N78"/>
    <mergeCell ref="A79:N79"/>
    <mergeCell ref="A80:N80"/>
    <mergeCell ref="A81:N81"/>
    <mergeCell ref="A82:N82"/>
    <mergeCell ref="A83:N83"/>
    <mergeCell ref="A66:N66"/>
    <mergeCell ref="A67:N67"/>
    <mergeCell ref="A68:N68"/>
    <mergeCell ref="A69:N69"/>
    <mergeCell ref="A70:N70"/>
    <mergeCell ref="A71:N71"/>
    <mergeCell ref="A72:N72"/>
    <mergeCell ref="A73:N73"/>
    <mergeCell ref="A74:N74"/>
    <mergeCell ref="A57:N57"/>
    <mergeCell ref="A58:N58"/>
    <mergeCell ref="A59:N59"/>
    <mergeCell ref="A60:N60"/>
    <mergeCell ref="A61:N61"/>
    <mergeCell ref="A62:N62"/>
    <mergeCell ref="A63:N63"/>
    <mergeCell ref="A64:N64"/>
    <mergeCell ref="A65:N65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39:N39"/>
    <mergeCell ref="A40:N40"/>
    <mergeCell ref="A41:N41"/>
    <mergeCell ref="A42:N42"/>
    <mergeCell ref="A43:N43"/>
    <mergeCell ref="A44:N44"/>
    <mergeCell ref="A45:N45"/>
    <mergeCell ref="A46:N46"/>
    <mergeCell ref="A47:N47"/>
    <mergeCell ref="A26:N26"/>
    <mergeCell ref="A27:N27"/>
    <mergeCell ref="A28:N28"/>
    <mergeCell ref="A25:N25"/>
    <mergeCell ref="A21:N21"/>
    <mergeCell ref="A22:N22"/>
    <mergeCell ref="A23:N23"/>
    <mergeCell ref="A24:N24"/>
    <mergeCell ref="A38:N38"/>
    <mergeCell ref="A35:N35"/>
    <mergeCell ref="A36:N36"/>
    <mergeCell ref="A37:N37"/>
    <mergeCell ref="A32:N32"/>
    <mergeCell ref="A33:N33"/>
    <mergeCell ref="A34:N34"/>
    <mergeCell ref="A29:N29"/>
    <mergeCell ref="A30:N30"/>
    <mergeCell ref="A31:N31"/>
    <mergeCell ref="A9:N9"/>
    <mergeCell ref="A10:N10"/>
    <mergeCell ref="A2:N2"/>
    <mergeCell ref="O2:O5"/>
    <mergeCell ref="P2:P5"/>
    <mergeCell ref="A3:N3"/>
    <mergeCell ref="A4:N4"/>
    <mergeCell ref="A5:E5"/>
    <mergeCell ref="F5:H5"/>
    <mergeCell ref="I5:K5"/>
    <mergeCell ref="A6:N6"/>
    <mergeCell ref="A7:N7"/>
    <mergeCell ref="A8:N8"/>
    <mergeCell ref="A18:N18"/>
    <mergeCell ref="A19:N19"/>
    <mergeCell ref="A20:N20"/>
    <mergeCell ref="A15:N15"/>
    <mergeCell ref="A16:N16"/>
    <mergeCell ref="A17:N17"/>
    <mergeCell ref="A11:N11"/>
    <mergeCell ref="A12:N12"/>
    <mergeCell ref="A13:N13"/>
    <mergeCell ref="A14:N14"/>
    <mergeCell ref="A170:N170"/>
    <mergeCell ref="A171:N171"/>
    <mergeCell ref="A172:N172"/>
    <mergeCell ref="A173:N173"/>
    <mergeCell ref="A177:N177"/>
    <mergeCell ref="A178:N178"/>
    <mergeCell ref="A176:N176"/>
    <mergeCell ref="A164:N164"/>
    <mergeCell ref="A187:N187"/>
    <mergeCell ref="A184:N184"/>
    <mergeCell ref="A180:N180"/>
    <mergeCell ref="A174:N174"/>
    <mergeCell ref="A175:N175"/>
    <mergeCell ref="A181:N181"/>
    <mergeCell ref="A179:N179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maksb</cp:lastModifiedBy>
  <dcterms:modified xsi:type="dcterms:W3CDTF">2026-06-12T06:53:48Z</dcterms:modified>
</cp:coreProperties>
</file>