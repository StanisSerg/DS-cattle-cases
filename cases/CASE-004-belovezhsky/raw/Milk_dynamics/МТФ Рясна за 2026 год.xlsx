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5D19EE03-7210-455E-9EB6-56E228256FBD}" xr6:coauthVersionLast="47" xr6:coauthVersionMax="47" xr10:uidLastSave="{00000000-0000-0000-0000-000000000000}"/>
  <bookViews>
    <workbookView xWindow="-108" yWindow="-108" windowWidth="23256" windowHeight="12456" xr2:uid="{89C9BFA6-C393-4845-9184-962F92754C4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D20" i="1"/>
</calcChain>
</file>

<file path=xl/sharedStrings.xml><?xml version="1.0" encoding="utf-8"?>
<sst xmlns="http://schemas.openxmlformats.org/spreadsheetml/2006/main" count="98" uniqueCount="54">
  <si>
    <t>Ед. изм.</t>
  </si>
  <si>
    <t>Среднее поголовье</t>
  </si>
  <si>
    <t>Голов</t>
  </si>
  <si>
    <t xml:space="preserve">        Коровы</t>
  </si>
  <si>
    <t>Поголовье на конец месяца</t>
  </si>
  <si>
    <t xml:space="preserve">        Нетели</t>
  </si>
  <si>
    <t xml:space="preserve">        Откорм</t>
  </si>
  <si>
    <t xml:space="preserve">        Телки 2022</t>
  </si>
  <si>
    <t xml:space="preserve">        Телки 2023</t>
  </si>
  <si>
    <t xml:space="preserve">        Телки 2024</t>
  </si>
  <si>
    <t xml:space="preserve">        Бычки 2024</t>
  </si>
  <si>
    <t xml:space="preserve">        Телки 2025</t>
  </si>
  <si>
    <t xml:space="preserve">        Бычки 2025</t>
  </si>
  <si>
    <t xml:space="preserve">        Телки 2026</t>
  </si>
  <si>
    <t xml:space="preserve">        Бычки 2026</t>
  </si>
  <si>
    <t>Валовой надой молока, физический вес</t>
  </si>
  <si>
    <t>Тонн</t>
  </si>
  <si>
    <t>Удой на среднюю корову</t>
  </si>
  <si>
    <t>Кг</t>
  </si>
  <si>
    <t>Реализовано молока государству</t>
  </si>
  <si>
    <t>физ. вес</t>
  </si>
  <si>
    <t>зач. вес</t>
  </si>
  <si>
    <t>Товарность молока</t>
  </si>
  <si>
    <t>%</t>
  </si>
  <si>
    <t>Жирность молока</t>
  </si>
  <si>
    <t>Реализовано в процентах от общего</t>
  </si>
  <si>
    <t xml:space="preserve">        экстра</t>
  </si>
  <si>
    <t xml:space="preserve">        высший сорт</t>
  </si>
  <si>
    <t>Выпоено молока телятам, физический вес</t>
  </si>
  <si>
    <t>Продукция прироста</t>
  </si>
  <si>
    <t>Продукция выращивания</t>
  </si>
  <si>
    <t>Получено валового привеса</t>
  </si>
  <si>
    <t>Среднесуточный привес</t>
  </si>
  <si>
    <t>Грамм</t>
  </si>
  <si>
    <t xml:space="preserve">        молодняк текущего года</t>
  </si>
  <si>
    <t xml:space="preserve">        молодняк прошлых лет</t>
  </si>
  <si>
    <t>Получено приплода всего</t>
  </si>
  <si>
    <t xml:space="preserve">        от коров</t>
  </si>
  <si>
    <t xml:space="preserve">        от нетелей</t>
  </si>
  <si>
    <t>Выход приплода на 100 коров</t>
  </si>
  <si>
    <t>Выход приплода на 100 коров и нетелей</t>
  </si>
  <si>
    <t>Осеменено всего</t>
  </si>
  <si>
    <t xml:space="preserve">        коров</t>
  </si>
  <si>
    <t xml:space="preserve">        нетелей</t>
  </si>
  <si>
    <t>Расход кормов всего</t>
  </si>
  <si>
    <t>ЦКЕД</t>
  </si>
  <si>
    <t xml:space="preserve">        на 1ц молока</t>
  </si>
  <si>
    <t xml:space="preserve">        на 1ц прироста</t>
  </si>
  <si>
    <t>Реализовано КРС всего</t>
  </si>
  <si>
    <t>Средний вес 1 головы</t>
  </si>
  <si>
    <t xml:space="preserve">      Мясокомбинат</t>
  </si>
  <si>
    <t>Падеж</t>
  </si>
  <si>
    <t xml:space="preserve">       1 сорт</t>
  </si>
  <si>
    <t>Анализ работы МТФ Рясна за 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</si>
</sst>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4"/>
      <name val="Arial"/>
      <family val="2"/>
      <charset val="1"/>
    </font>
    <font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" fontId="2" fillId="0" borderId="1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2" fillId="0" borderId="7" xfId="0" applyNumberFormat="1" applyFont="1" applyBorder="1" applyAlignment="1">
      <alignment horizontal="right" vertical="center" wrapText="1"/>
    </xf>
    <xf numFmtId="1" fontId="2" fillId="0" borderId="7" xfId="0" applyNumberFormat="1" applyFont="1" applyBorder="1" applyAlignment="1">
      <alignment horizontal="right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" fontId="2" fillId="2" borderId="7" xfId="0" applyNumberFormat="1" applyFont="1" applyFill="1" applyBorder="1" applyAlignment="1">
      <alignment horizontal="right" vertical="center" wrapText="1"/>
    </xf>
    <xf numFmtId="164" fontId="2" fillId="2" borderId="7" xfId="0" applyNumberFormat="1" applyFont="1" applyFill="1" applyBorder="1" applyAlignment="1">
      <alignment horizontal="right" vertical="center" wrapText="1"/>
    </xf>
    <xf numFmtId="164" fontId="2" fillId="2" borderId="5" xfId="0" applyNumberFormat="1" applyFont="1" applyFill="1" applyBorder="1" applyAlignment="1">
      <alignment horizontal="right" vertical="center" wrapText="1"/>
    </xf>
    <xf numFmtId="164" fontId="2" fillId="2" borderId="6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1" fontId="2" fillId="2" borderId="5" xfId="0" applyNumberFormat="1" applyFont="1" applyFill="1" applyBorder="1" applyAlignment="1">
      <alignment horizontal="right" vertical="center" wrapText="1"/>
    </xf>
    <xf numFmtId="1" fontId="2" fillId="2" borderId="6" xfId="0" applyNumberFormat="1" applyFont="1" applyFill="1" applyBorder="1" applyAlignment="1">
      <alignment horizontal="right" vertical="center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0124710064162423"/>
          <c:y val="0.143726724569800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395568644988774E-2"/>
          <c:y val="0.19089108499723725"/>
          <c:w val="0.81206272114486711"/>
          <c:h val="0.515187485027844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Лист1!$D$2:$U$2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</c:numCache>
            </c:numRef>
          </c:cat>
          <c:val>
            <c:numRef>
              <c:f>Лист1!$D$4:$U$4</c:f>
              <c:numCache>
                <c:formatCode>General</c:formatCode>
                <c:ptCount val="18"/>
                <c:pt idx="0" formatCode="0">
                  <c:v>383</c:v>
                </c:pt>
                <c:pt idx="1">
                  <c:v>384</c:v>
                </c:pt>
                <c:pt idx="2" formatCode="0">
                  <c:v>372</c:v>
                </c:pt>
                <c:pt idx="3" formatCode="0">
                  <c:v>363</c:v>
                </c:pt>
                <c:pt idx="4" formatCode="0">
                  <c:v>367</c:v>
                </c:pt>
                <c:pt idx="5" formatCode="0">
                  <c:v>368</c:v>
                </c:pt>
                <c:pt idx="6" formatCode="0">
                  <c:v>374</c:v>
                </c:pt>
                <c:pt idx="7" formatCode="0">
                  <c:v>404</c:v>
                </c:pt>
                <c:pt idx="8" formatCode="0">
                  <c:v>423</c:v>
                </c:pt>
                <c:pt idx="9" formatCode="0">
                  <c:v>392</c:v>
                </c:pt>
                <c:pt idx="10" formatCode="0">
                  <c:v>392</c:v>
                </c:pt>
                <c:pt idx="11" formatCode="0">
                  <c:v>398</c:v>
                </c:pt>
                <c:pt idx="12" formatCode="0">
                  <c:v>400</c:v>
                </c:pt>
                <c:pt idx="13" formatCode="0">
                  <c:v>398</c:v>
                </c:pt>
                <c:pt idx="14" formatCode="0">
                  <c:v>390</c:v>
                </c:pt>
                <c:pt idx="15" formatCode="0">
                  <c:v>380</c:v>
                </c:pt>
                <c:pt idx="16" formatCode="0">
                  <c:v>375</c:v>
                </c:pt>
                <c:pt idx="17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8-484C-8031-F3B1918D9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666384"/>
        <c:axId val="52866962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Лист1!$D$2:$U$2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</c:numCache>
            </c:numRef>
          </c:cat>
          <c:val>
            <c:numRef>
              <c:f>Лист1!$D$17:$U$17</c:f>
              <c:numCache>
                <c:formatCode>General</c:formatCode>
                <c:ptCount val="18"/>
                <c:pt idx="0" formatCode="0.0">
                  <c:v>259.8</c:v>
                </c:pt>
                <c:pt idx="1">
                  <c:v>232.4</c:v>
                </c:pt>
                <c:pt idx="2" formatCode="0.0">
                  <c:v>260.60000000000002</c:v>
                </c:pt>
                <c:pt idx="3" formatCode="0.0">
                  <c:v>257.7</c:v>
                </c:pt>
                <c:pt idx="4" formatCode="0.0">
                  <c:v>266.3</c:v>
                </c:pt>
                <c:pt idx="5" formatCode="0.0">
                  <c:v>257.7</c:v>
                </c:pt>
                <c:pt idx="6" formatCode="0.0">
                  <c:v>266.3</c:v>
                </c:pt>
                <c:pt idx="7" formatCode="0.0">
                  <c:v>287.89999999999998</c:v>
                </c:pt>
                <c:pt idx="8" formatCode="0.0">
                  <c:v>284.7</c:v>
                </c:pt>
                <c:pt idx="9" formatCode="0.0">
                  <c:v>281.8</c:v>
                </c:pt>
                <c:pt idx="10" formatCode="0.0">
                  <c:v>256.8</c:v>
                </c:pt>
                <c:pt idx="11" formatCode="0.0">
                  <c:v>287.60000000000002</c:v>
                </c:pt>
                <c:pt idx="12" formatCode="0.0">
                  <c:v>292</c:v>
                </c:pt>
                <c:pt idx="13" formatCode="0.0">
                  <c:v>299</c:v>
                </c:pt>
                <c:pt idx="14" formatCode="0.0">
                  <c:v>286.2</c:v>
                </c:pt>
                <c:pt idx="15" formatCode="0.0">
                  <c:v>281.89999999999998</c:v>
                </c:pt>
                <c:pt idx="16" formatCode="0.0">
                  <c:v>274.10000000000002</c:v>
                </c:pt>
                <c:pt idx="17">
                  <c:v>250.9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28-484C-8031-F3B1918D9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426760"/>
        <c:axId val="571420640"/>
      </c:lineChart>
      <c:dateAx>
        <c:axId val="528666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669624"/>
        <c:crosses val="autoZero"/>
        <c:auto val="1"/>
        <c:lblOffset val="100"/>
        <c:baseTimeUnit val="months"/>
      </c:dateAx>
      <c:valAx>
        <c:axId val="528669624"/>
        <c:scaling>
          <c:orientation val="minMax"/>
          <c:min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666384"/>
        <c:crosses val="autoZero"/>
        <c:crossBetween val="between"/>
      </c:valAx>
      <c:valAx>
        <c:axId val="571420640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1426760"/>
        <c:crosses val="max"/>
        <c:crossBetween val="between"/>
      </c:valAx>
      <c:dateAx>
        <c:axId val="57142676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571420640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0165602664949991E-2"/>
          <c:y val="0.17730452463322974"/>
          <c:w val="0.92831001285882697"/>
          <c:h val="0.6774959118756281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Лист1!$D$2:$U$2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</c:numCache>
            </c:numRef>
          </c:cat>
          <c:val>
            <c:numRef>
              <c:f>Лист1!$D$24:$U$24</c:f>
              <c:numCache>
                <c:formatCode>General</c:formatCode>
                <c:ptCount val="18"/>
                <c:pt idx="0" formatCode="0.00">
                  <c:v>3.51</c:v>
                </c:pt>
                <c:pt idx="1">
                  <c:v>3.53</c:v>
                </c:pt>
                <c:pt idx="2" formatCode="0.00">
                  <c:v>3.48</c:v>
                </c:pt>
                <c:pt idx="3" formatCode="0.00">
                  <c:v>3.48</c:v>
                </c:pt>
                <c:pt idx="4" formatCode="0.00">
                  <c:v>3.35</c:v>
                </c:pt>
                <c:pt idx="5" formatCode="0.00">
                  <c:v>3.32</c:v>
                </c:pt>
                <c:pt idx="6" formatCode="0.00">
                  <c:v>3.42</c:v>
                </c:pt>
                <c:pt idx="7" formatCode="0.00">
                  <c:v>3.47</c:v>
                </c:pt>
                <c:pt idx="8" formatCode="0.00">
                  <c:v>3.55</c:v>
                </c:pt>
                <c:pt idx="9" formatCode="0.00">
                  <c:v>3.49</c:v>
                </c:pt>
                <c:pt idx="10" formatCode="0.00">
                  <c:v>3.59</c:v>
                </c:pt>
                <c:pt idx="11" formatCode="0.00">
                  <c:v>3.57</c:v>
                </c:pt>
                <c:pt idx="12" formatCode="0.00">
                  <c:v>3.55</c:v>
                </c:pt>
                <c:pt idx="13" formatCode="0.00">
                  <c:v>3.41</c:v>
                </c:pt>
                <c:pt idx="14" formatCode="0.00">
                  <c:v>3.47</c:v>
                </c:pt>
                <c:pt idx="15" formatCode="0.00">
                  <c:v>3.41</c:v>
                </c:pt>
                <c:pt idx="16" formatCode="0.00">
                  <c:v>3.41</c:v>
                </c:pt>
                <c:pt idx="17">
                  <c:v>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8-416C-A5C9-51BE82931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263272"/>
        <c:axId val="420260752"/>
      </c:lineChart>
      <c:dateAx>
        <c:axId val="4202632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0260752"/>
        <c:crosses val="autoZero"/>
        <c:auto val="1"/>
        <c:lblOffset val="100"/>
        <c:baseTimeUnit val="months"/>
      </c:dateAx>
      <c:valAx>
        <c:axId val="420260752"/>
        <c:scaling>
          <c:orientation val="minMax"/>
          <c:min val="3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0263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Лист1!$D$2:$U$2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</c:numCache>
            </c:numRef>
          </c:cat>
          <c:val>
            <c:numRef>
              <c:f>Лист1!$D$23:$U$23</c:f>
              <c:numCache>
                <c:formatCode>General</c:formatCode>
                <c:ptCount val="18"/>
                <c:pt idx="0" formatCode="0.0">
                  <c:v>90.1</c:v>
                </c:pt>
                <c:pt idx="1">
                  <c:v>90.8</c:v>
                </c:pt>
                <c:pt idx="2" formatCode="0.0">
                  <c:v>91.9</c:v>
                </c:pt>
                <c:pt idx="3" formatCode="0.0">
                  <c:v>93.9</c:v>
                </c:pt>
                <c:pt idx="4" formatCode="0.0">
                  <c:v>94.5</c:v>
                </c:pt>
                <c:pt idx="5" formatCode="0.0">
                  <c:v>93.4</c:v>
                </c:pt>
                <c:pt idx="6" formatCode="0.0">
                  <c:v>93.3</c:v>
                </c:pt>
                <c:pt idx="7" formatCode="0.0">
                  <c:v>87.5</c:v>
                </c:pt>
                <c:pt idx="8" formatCode="0.0">
                  <c:v>81.3</c:v>
                </c:pt>
                <c:pt idx="9" formatCode="0.0">
                  <c:v>94.9</c:v>
                </c:pt>
                <c:pt idx="10" formatCode="0.0">
                  <c:v>93.6</c:v>
                </c:pt>
                <c:pt idx="11" formatCode="0.0">
                  <c:v>94.2</c:v>
                </c:pt>
                <c:pt idx="12" formatCode="0.0">
                  <c:v>92</c:v>
                </c:pt>
                <c:pt idx="13" formatCode="0.0">
                  <c:v>91.5</c:v>
                </c:pt>
                <c:pt idx="14" formatCode="0.0">
                  <c:v>90.3</c:v>
                </c:pt>
                <c:pt idx="15" formatCode="0.0">
                  <c:v>90.5</c:v>
                </c:pt>
                <c:pt idx="16" formatCode="0.0">
                  <c:v>75.8</c:v>
                </c:pt>
                <c:pt idx="17">
                  <c:v>82.1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F-4B8A-8D5B-12B2CA24D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8670344"/>
        <c:axId val="528667464"/>
      </c:lineChart>
      <c:dateAx>
        <c:axId val="5286703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667464"/>
        <c:crosses val="autoZero"/>
        <c:auto val="1"/>
        <c:lblOffset val="100"/>
        <c:baseTimeUnit val="months"/>
      </c:dateAx>
      <c:valAx>
        <c:axId val="528667464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670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Лист1!$D$2:$U$2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</c:numCache>
            </c:numRef>
          </c:cat>
          <c:val>
            <c:numRef>
              <c:f>Лист1!$D$29:$U$29</c:f>
              <c:numCache>
                <c:formatCode>General</c:formatCode>
                <c:ptCount val="18"/>
                <c:pt idx="0" formatCode="0.0">
                  <c:v>25.7</c:v>
                </c:pt>
                <c:pt idx="1">
                  <c:v>21.5</c:v>
                </c:pt>
                <c:pt idx="2" formatCode="0.0">
                  <c:v>21.2</c:v>
                </c:pt>
                <c:pt idx="3" formatCode="0.0">
                  <c:v>15.6</c:v>
                </c:pt>
                <c:pt idx="4" formatCode="0.0">
                  <c:v>14.5</c:v>
                </c:pt>
                <c:pt idx="5" formatCode="0.0">
                  <c:v>16.899999999999999</c:v>
                </c:pt>
                <c:pt idx="6" formatCode="0.0">
                  <c:v>17.8</c:v>
                </c:pt>
                <c:pt idx="7" formatCode="0.0">
                  <c:v>36.1</c:v>
                </c:pt>
                <c:pt idx="8" formatCode="0.0">
                  <c:v>53.2</c:v>
                </c:pt>
                <c:pt idx="9" formatCode="0.0">
                  <c:v>14.4</c:v>
                </c:pt>
                <c:pt idx="10" formatCode="0.0">
                  <c:v>18.399999999999999</c:v>
                </c:pt>
                <c:pt idx="11" formatCode="0.0">
                  <c:v>16.600000000000001</c:v>
                </c:pt>
                <c:pt idx="12" formatCode="0.0">
                  <c:v>23.4</c:v>
                </c:pt>
                <c:pt idx="13" formatCode="0.0">
                  <c:v>25.5</c:v>
                </c:pt>
                <c:pt idx="14" formatCode="0.0">
                  <c:v>27.9</c:v>
                </c:pt>
                <c:pt idx="15" formatCode="0.0">
                  <c:v>26.8</c:v>
                </c:pt>
                <c:pt idx="16" formatCode="0.0">
                  <c:v>66.3</c:v>
                </c:pt>
                <c:pt idx="17">
                  <c:v>44.9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7-4F57-83E6-0D6F6E1C2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471992"/>
        <c:axId val="535477392"/>
      </c:barChart>
      <c:dateAx>
        <c:axId val="5354719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477392"/>
        <c:crosses val="autoZero"/>
        <c:auto val="1"/>
        <c:lblOffset val="100"/>
        <c:baseTimeUnit val="months"/>
      </c:dateAx>
      <c:valAx>
        <c:axId val="53547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471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5540811352137731E-2"/>
          <c:y val="0.10566951566951567"/>
          <c:w val="0.90686969160717201"/>
          <c:h val="0.76306727684680442"/>
        </c:manualLayout>
      </c:layout>
      <c:lineChart>
        <c:grouping val="standard"/>
        <c:varyColors val="0"/>
        <c:ser>
          <c:idx val="0"/>
          <c:order val="0"/>
          <c:tx>
            <c:strRef>
              <c:f>Лист1!$A$26:$C$26</c:f>
              <c:strCache>
                <c:ptCount val="3"/>
                <c:pt idx="0">
                  <c:v>        экстра</c:v>
                </c:pt>
                <c:pt idx="2">
                  <c:v>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Лист1!$D$26:$U$26</c:f>
              <c:numCache>
                <c:formatCode>General</c:formatCode>
                <c:ptCount val="18"/>
                <c:pt idx="0" formatCode="0.00">
                  <c:v>100</c:v>
                </c:pt>
                <c:pt idx="1">
                  <c:v>100</c:v>
                </c:pt>
                <c:pt idx="2" formatCode="0.00">
                  <c:v>100</c:v>
                </c:pt>
                <c:pt idx="3" formatCode="0.00">
                  <c:v>100</c:v>
                </c:pt>
                <c:pt idx="4" formatCode="0.00">
                  <c:v>100</c:v>
                </c:pt>
                <c:pt idx="5" formatCode="0.00">
                  <c:v>100</c:v>
                </c:pt>
                <c:pt idx="6" formatCode="0.00">
                  <c:v>100</c:v>
                </c:pt>
                <c:pt idx="7" formatCode="0.00">
                  <c:v>100</c:v>
                </c:pt>
                <c:pt idx="8" formatCode="0.00">
                  <c:v>98.44</c:v>
                </c:pt>
                <c:pt idx="9" formatCode="0.00">
                  <c:v>75.14</c:v>
                </c:pt>
                <c:pt idx="10" formatCode="0.00">
                  <c:v>95.1</c:v>
                </c:pt>
                <c:pt idx="11" formatCode="0.00">
                  <c:v>93.99</c:v>
                </c:pt>
                <c:pt idx="12" formatCode="0.00">
                  <c:v>90.78</c:v>
                </c:pt>
                <c:pt idx="13" formatCode="0.00">
                  <c:v>98.21</c:v>
                </c:pt>
                <c:pt idx="14" formatCode="0.00">
                  <c:v>96.3</c:v>
                </c:pt>
                <c:pt idx="15" formatCode="0.00">
                  <c:v>87.27</c:v>
                </c:pt>
                <c:pt idx="16" formatCode="0.00">
                  <c:v>83.09</c:v>
                </c:pt>
                <c:pt idx="17">
                  <c:v>76.73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40-449F-A8FC-49780845CD94}"/>
            </c:ext>
          </c:extLst>
        </c:ser>
        <c:ser>
          <c:idx val="1"/>
          <c:order val="1"/>
          <c:tx>
            <c:strRef>
              <c:f>Лист1!$A$27:$C$27</c:f>
              <c:strCache>
                <c:ptCount val="3"/>
                <c:pt idx="0">
                  <c:v>        высший сорт</c:v>
                </c:pt>
                <c:pt idx="2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Лист1!$D$27:$U$27</c:f>
              <c:numCache>
                <c:formatCode>General</c:formatCode>
                <c:ptCount val="18"/>
                <c:pt idx="8" formatCode="0.00">
                  <c:v>1.56</c:v>
                </c:pt>
                <c:pt idx="9" formatCode="0.00">
                  <c:v>24.86</c:v>
                </c:pt>
                <c:pt idx="10" formatCode="0.00">
                  <c:v>4.9000000000000004</c:v>
                </c:pt>
                <c:pt idx="11" formatCode="0.00">
                  <c:v>6.01</c:v>
                </c:pt>
                <c:pt idx="12" formatCode="0.00">
                  <c:v>9.2200000000000006</c:v>
                </c:pt>
                <c:pt idx="13" formatCode="0.00">
                  <c:v>1.79</c:v>
                </c:pt>
                <c:pt idx="14" formatCode="0.00">
                  <c:v>3.7</c:v>
                </c:pt>
                <c:pt idx="15" formatCode="0.00">
                  <c:v>12.73</c:v>
                </c:pt>
                <c:pt idx="16" formatCode="0.00">
                  <c:v>16.91</c:v>
                </c:pt>
                <c:pt idx="17">
                  <c:v>16.71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40-449F-A8FC-49780845CD94}"/>
            </c:ext>
          </c:extLst>
        </c:ser>
        <c:ser>
          <c:idx val="2"/>
          <c:order val="2"/>
          <c:tx>
            <c:strRef>
              <c:f>Лист1!$A$28:$C$28</c:f>
              <c:strCache>
                <c:ptCount val="3"/>
                <c:pt idx="0">
                  <c:v>       1 сорт</c:v>
                </c:pt>
                <c:pt idx="2">
                  <c:v>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Лист1!$D$28:$U$28</c:f>
              <c:numCache>
                <c:formatCode>General</c:formatCode>
                <c:ptCount val="18"/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40-449F-A8FC-49780845CD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73279896"/>
        <c:axId val="573287456"/>
      </c:lineChart>
      <c:catAx>
        <c:axId val="573279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287456"/>
        <c:crosses val="autoZero"/>
        <c:auto val="1"/>
        <c:lblAlgn val="ctr"/>
        <c:lblOffset val="100"/>
        <c:noMultiLvlLbl val="0"/>
      </c:catAx>
      <c:valAx>
        <c:axId val="5732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279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3652448609306738E-2"/>
          <c:y val="0.13192605095320248"/>
          <c:w val="0.95431873320098481"/>
          <c:h val="0.801606558277576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Лист1!$D$2:$U$2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</c:numCache>
            </c:numRef>
          </c:cat>
          <c:val>
            <c:numRef>
              <c:f>Лист1!$D$20:$U$20</c:f>
              <c:numCache>
                <c:formatCode>0.0</c:formatCode>
                <c:ptCount val="18"/>
                <c:pt idx="0">
                  <c:v>21.870967741935484</c:v>
                </c:pt>
                <c:pt idx="1">
                  <c:v>21.607142857142858</c:v>
                </c:pt>
                <c:pt idx="2">
                  <c:v>22.612903225806452</c:v>
                </c:pt>
                <c:pt idx="3">
                  <c:v>23.666666666666668</c:v>
                </c:pt>
                <c:pt idx="4">
                  <c:v>23.419354838709676</c:v>
                </c:pt>
                <c:pt idx="5">
                  <c:v>23.333333333333332</c:v>
                </c:pt>
                <c:pt idx="6">
                  <c:v>22.967741935483872</c:v>
                </c:pt>
                <c:pt idx="7">
                  <c:v>23</c:v>
                </c:pt>
                <c:pt idx="8">
                  <c:v>22.433333333333334</c:v>
                </c:pt>
                <c:pt idx="9">
                  <c:v>23.193548387096776</c:v>
                </c:pt>
                <c:pt idx="10">
                  <c:v>23.392857142857142</c:v>
                </c:pt>
                <c:pt idx="11">
                  <c:v>23.322580645161292</c:v>
                </c:pt>
                <c:pt idx="12">
                  <c:v>24.333333333333332</c:v>
                </c:pt>
                <c:pt idx="13">
                  <c:v>24.225806451612904</c:v>
                </c:pt>
                <c:pt idx="14">
                  <c:v>24.466666666666665</c:v>
                </c:pt>
                <c:pt idx="15">
                  <c:v>23.93548387096774</c:v>
                </c:pt>
                <c:pt idx="16">
                  <c:v>23.580645161290324</c:v>
                </c:pt>
                <c:pt idx="17">
                  <c:v>22.8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A-4E7E-90FC-0BB17BC24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477032"/>
        <c:axId val="535477752"/>
      </c:barChart>
      <c:dateAx>
        <c:axId val="5354770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477752"/>
        <c:crosses val="autoZero"/>
        <c:auto val="1"/>
        <c:lblOffset val="100"/>
        <c:baseTimeUnit val="months"/>
      </c:dateAx>
      <c:valAx>
        <c:axId val="53547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477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7087585726343569E-2"/>
          <c:y val="0.1650596028339649"/>
          <c:w val="0.92291241427365645"/>
          <c:h val="0.58391592929916591"/>
        </c:manualLayout>
      </c:layout>
      <c:lineChart>
        <c:grouping val="standard"/>
        <c:varyColors val="0"/>
        <c:ser>
          <c:idx val="0"/>
          <c:order val="0"/>
          <c:tx>
            <c:strRef>
              <c:f>Лист1!$A$17:$C$17</c:f>
              <c:strCache>
                <c:ptCount val="3"/>
                <c:pt idx="0">
                  <c:v>Валовой надой молока, физический вес</c:v>
                </c:pt>
                <c:pt idx="2">
                  <c:v>Тонн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Лист1!$D$17:$U$17</c:f>
              <c:numCache>
                <c:formatCode>General</c:formatCode>
                <c:ptCount val="18"/>
                <c:pt idx="0" formatCode="0.0">
                  <c:v>259.8</c:v>
                </c:pt>
                <c:pt idx="1">
                  <c:v>232.4</c:v>
                </c:pt>
                <c:pt idx="2" formatCode="0.0">
                  <c:v>260.60000000000002</c:v>
                </c:pt>
                <c:pt idx="3" formatCode="0.0">
                  <c:v>257.7</c:v>
                </c:pt>
                <c:pt idx="4" formatCode="0.0">
                  <c:v>266.3</c:v>
                </c:pt>
                <c:pt idx="5" formatCode="0.0">
                  <c:v>257.7</c:v>
                </c:pt>
                <c:pt idx="6" formatCode="0.0">
                  <c:v>266.3</c:v>
                </c:pt>
                <c:pt idx="7" formatCode="0.0">
                  <c:v>287.89999999999998</c:v>
                </c:pt>
                <c:pt idx="8" formatCode="0.0">
                  <c:v>284.7</c:v>
                </c:pt>
                <c:pt idx="9" formatCode="0.0">
                  <c:v>281.8</c:v>
                </c:pt>
                <c:pt idx="10" formatCode="0.0">
                  <c:v>256.8</c:v>
                </c:pt>
                <c:pt idx="11" formatCode="0.0">
                  <c:v>287.60000000000002</c:v>
                </c:pt>
                <c:pt idx="12" formatCode="0.0">
                  <c:v>292</c:v>
                </c:pt>
                <c:pt idx="13" formatCode="0.0">
                  <c:v>299</c:v>
                </c:pt>
                <c:pt idx="14" formatCode="0.0">
                  <c:v>286.2</c:v>
                </c:pt>
                <c:pt idx="15" formatCode="0.0">
                  <c:v>281.89999999999998</c:v>
                </c:pt>
                <c:pt idx="16" formatCode="0.0">
                  <c:v>274.10000000000002</c:v>
                </c:pt>
                <c:pt idx="17">
                  <c:v>250.9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8-4FED-BD20-849FFB4976DF}"/>
            </c:ext>
          </c:extLst>
        </c:ser>
        <c:ser>
          <c:idx val="1"/>
          <c:order val="1"/>
          <c:tx>
            <c:strRef>
              <c:f>Лист1!$A$21:$C$21</c:f>
              <c:strCache>
                <c:ptCount val="3"/>
                <c:pt idx="0">
                  <c:v>Реализовано молока государству</c:v>
                </c:pt>
                <c:pt idx="1">
                  <c:v>физ. вес</c:v>
                </c:pt>
                <c:pt idx="2">
                  <c:v>Тонн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Лист1!$D$21:$U$21</c:f>
              <c:numCache>
                <c:formatCode>General</c:formatCode>
                <c:ptCount val="18"/>
                <c:pt idx="0" formatCode="0.0">
                  <c:v>234.1</c:v>
                </c:pt>
                <c:pt idx="1">
                  <c:v>210.9</c:v>
                </c:pt>
                <c:pt idx="2" formatCode="0.0">
                  <c:v>239.4</c:v>
                </c:pt>
                <c:pt idx="3" formatCode="0.0">
                  <c:v>242.1</c:v>
                </c:pt>
                <c:pt idx="4" formatCode="0.0">
                  <c:v>251.8</c:v>
                </c:pt>
                <c:pt idx="5" formatCode="0.0">
                  <c:v>240.8</c:v>
                </c:pt>
                <c:pt idx="6" formatCode="0.0">
                  <c:v>248.5</c:v>
                </c:pt>
                <c:pt idx="7" formatCode="0.0">
                  <c:v>251.9</c:v>
                </c:pt>
                <c:pt idx="8" formatCode="0.0">
                  <c:v>231.5</c:v>
                </c:pt>
                <c:pt idx="9" formatCode="0.0">
                  <c:v>267.39999999999998</c:v>
                </c:pt>
                <c:pt idx="10" formatCode="0.0">
                  <c:v>240.4</c:v>
                </c:pt>
                <c:pt idx="11" formatCode="0.0">
                  <c:v>271.10000000000002</c:v>
                </c:pt>
                <c:pt idx="12" formatCode="0.0">
                  <c:v>268.60000000000002</c:v>
                </c:pt>
                <c:pt idx="13" formatCode="0.0">
                  <c:v>273.5</c:v>
                </c:pt>
                <c:pt idx="14" formatCode="0.0">
                  <c:v>258.3</c:v>
                </c:pt>
                <c:pt idx="15" formatCode="0.0">
                  <c:v>255.2</c:v>
                </c:pt>
                <c:pt idx="16" formatCode="0.0">
                  <c:v>207.8</c:v>
                </c:pt>
                <c:pt idx="17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8-4FED-BD20-849FFB4976DF}"/>
            </c:ext>
          </c:extLst>
        </c:ser>
        <c:ser>
          <c:idx val="2"/>
          <c:order val="2"/>
          <c:tx>
            <c:strRef>
              <c:f>Лист1!$A$22:$C$22</c:f>
              <c:strCache>
                <c:ptCount val="3"/>
                <c:pt idx="0">
                  <c:v>Реализовано молока государству</c:v>
                </c:pt>
                <c:pt idx="1">
                  <c:v>зач. вес</c:v>
                </c:pt>
                <c:pt idx="2">
                  <c:v>Тонн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Лист1!$D$22:$U$22</c:f>
              <c:numCache>
                <c:formatCode>General</c:formatCode>
                <c:ptCount val="18"/>
                <c:pt idx="0" formatCode="0.0">
                  <c:v>227.9</c:v>
                </c:pt>
                <c:pt idx="1">
                  <c:v>207</c:v>
                </c:pt>
                <c:pt idx="2" formatCode="0.0">
                  <c:v>231.4</c:v>
                </c:pt>
                <c:pt idx="3" formatCode="0.0">
                  <c:v>234.2</c:v>
                </c:pt>
                <c:pt idx="4" formatCode="0.0">
                  <c:v>234.6</c:v>
                </c:pt>
                <c:pt idx="5" formatCode="0.0">
                  <c:v>222.1</c:v>
                </c:pt>
                <c:pt idx="6" formatCode="0.0">
                  <c:v>235.9</c:v>
                </c:pt>
                <c:pt idx="7" formatCode="0.0">
                  <c:v>242.7</c:v>
                </c:pt>
                <c:pt idx="8" formatCode="0.0">
                  <c:v>228.4</c:v>
                </c:pt>
                <c:pt idx="9" formatCode="0.0">
                  <c:v>259.39999999999998</c:v>
                </c:pt>
                <c:pt idx="10" formatCode="0.0">
                  <c:v>239.7</c:v>
                </c:pt>
                <c:pt idx="11" formatCode="0.0">
                  <c:v>268.8</c:v>
                </c:pt>
                <c:pt idx="12" formatCode="0.0">
                  <c:v>264.60000000000002</c:v>
                </c:pt>
                <c:pt idx="13" formatCode="0.0">
                  <c:v>258.8</c:v>
                </c:pt>
                <c:pt idx="14" formatCode="0.0">
                  <c:v>248.8</c:v>
                </c:pt>
                <c:pt idx="15" formatCode="0.0">
                  <c:v>241.9</c:v>
                </c:pt>
                <c:pt idx="16" formatCode="0.0">
                  <c:v>197.1</c:v>
                </c:pt>
                <c:pt idx="17">
                  <c:v>199.2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E8-4FED-BD20-849FFB497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166720"/>
        <c:axId val="430168520"/>
      </c:lineChart>
      <c:catAx>
        <c:axId val="430166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168520"/>
        <c:crosses val="autoZero"/>
        <c:auto val="1"/>
        <c:lblAlgn val="ctr"/>
        <c:lblOffset val="100"/>
        <c:noMultiLvlLbl val="0"/>
      </c:catAx>
      <c:valAx>
        <c:axId val="430168520"/>
        <c:scaling>
          <c:orientation val="minMax"/>
          <c:min val="1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16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518160</xdr:colOff>
      <xdr:row>5</xdr:row>
      <xdr:rowOff>139849</xdr:rowOff>
    </xdr:from>
    <xdr:to>
      <xdr:col>35</xdr:col>
      <xdr:colOff>566570</xdr:colOff>
      <xdr:row>22</xdr:row>
      <xdr:rowOff>47513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BDB42F34-3A11-6D70-8FB9-348293650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153296</xdr:colOff>
      <xdr:row>25</xdr:row>
      <xdr:rowOff>52891</xdr:rowOff>
    </xdr:from>
    <xdr:to>
      <xdr:col>36</xdr:col>
      <xdr:colOff>238460</xdr:colOff>
      <xdr:row>41</xdr:row>
      <xdr:rowOff>141641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AA78D7A3-DD49-CDC5-635C-33A62CE78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344244</xdr:colOff>
      <xdr:row>22</xdr:row>
      <xdr:rowOff>106680</xdr:rowOff>
    </xdr:from>
    <xdr:to>
      <xdr:col>65</xdr:col>
      <xdr:colOff>97714</xdr:colOff>
      <xdr:row>37</xdr:row>
      <xdr:rowOff>75303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DB4C4E24-3CD4-82D3-FF6F-810C4CD8C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413654</xdr:colOff>
      <xdr:row>7</xdr:row>
      <xdr:rowOff>125186</xdr:rowOff>
    </xdr:from>
    <xdr:to>
      <xdr:col>40</xdr:col>
      <xdr:colOff>283028</xdr:colOff>
      <xdr:row>31</xdr:row>
      <xdr:rowOff>119743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2B3B3846-A264-C510-CDAF-1BE7F9C88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166006</xdr:colOff>
      <xdr:row>43</xdr:row>
      <xdr:rowOff>95250</xdr:rowOff>
    </xdr:from>
    <xdr:to>
      <xdr:col>39</xdr:col>
      <xdr:colOff>144235</xdr:colOff>
      <xdr:row>67</xdr:row>
      <xdr:rowOff>111579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7662255B-2DD4-B6A7-865D-00CD398B0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183775</xdr:colOff>
      <xdr:row>1</xdr:row>
      <xdr:rowOff>67233</xdr:rowOff>
    </xdr:from>
    <xdr:to>
      <xdr:col>40</xdr:col>
      <xdr:colOff>215151</xdr:colOff>
      <xdr:row>22</xdr:row>
      <xdr:rowOff>161363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0DB96ADF-507F-9730-FE1A-6713A0DB9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112059</xdr:colOff>
      <xdr:row>2</xdr:row>
      <xdr:rowOff>94128</xdr:rowOff>
    </xdr:from>
    <xdr:to>
      <xdr:col>34</xdr:col>
      <xdr:colOff>430306</xdr:colOff>
      <xdr:row>19</xdr:row>
      <xdr:rowOff>53787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697D8179-BF7B-C1C4-CD2B-8BF7E9A7B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FAC4-3904-4FF2-86A7-BBD6D0FEFF98}">
  <dimension ref="A1:U53"/>
  <sheetViews>
    <sheetView tabSelected="1" zoomScale="85" zoomScaleNormal="85" workbookViewId="0">
      <selection activeCell="M36" sqref="M36:U36"/>
    </sheetView>
  </sheetViews>
  <sheetFormatPr defaultRowHeight="14.4" x14ac:dyDescent="0.3"/>
  <cols>
    <col min="1" max="1" width="36.6640625" customWidth="1"/>
    <col min="2" max="2" width="10.109375" customWidth="1"/>
    <col min="4" max="12" width="8.88671875" style="32"/>
    <col min="21" max="21" width="8.88671875" customWidth="1"/>
  </cols>
  <sheetData>
    <row r="1" spans="1:21" ht="17.399999999999999" x14ac:dyDescent="0.3">
      <c r="A1" s="14" t="s">
        <v>53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</row>
    <row r="2" spans="1:21" x14ac:dyDescent="0.3">
      <c r="A2" s="11"/>
      <c r="B2" s="11"/>
      <c r="C2" s="1" t="s">
        <v>0</v>
      </c>
      <c r="D2" s="19">
        <v>45658</v>
      </c>
      <c r="E2" s="19">
        <v>45689</v>
      </c>
      <c r="F2" s="19">
        <v>45717</v>
      </c>
      <c r="G2" s="19">
        <v>45748</v>
      </c>
      <c r="H2" s="19">
        <v>45778</v>
      </c>
      <c r="I2" s="19">
        <v>45809</v>
      </c>
      <c r="J2" s="19">
        <v>45839</v>
      </c>
      <c r="K2" s="19">
        <v>45870</v>
      </c>
      <c r="L2" s="19">
        <v>45901</v>
      </c>
      <c r="M2" s="8">
        <v>46023</v>
      </c>
      <c r="N2" s="8">
        <v>46054</v>
      </c>
      <c r="O2" s="8">
        <v>46082</v>
      </c>
      <c r="P2" s="8">
        <v>46113</v>
      </c>
      <c r="Q2" s="8">
        <v>46143</v>
      </c>
      <c r="R2" s="8">
        <v>46174</v>
      </c>
      <c r="S2" s="8">
        <v>46204</v>
      </c>
      <c r="T2" s="8">
        <v>46235</v>
      </c>
      <c r="U2" s="8">
        <v>46266</v>
      </c>
    </row>
    <row r="3" spans="1:21" x14ac:dyDescent="0.3">
      <c r="A3" s="11" t="s">
        <v>1</v>
      </c>
      <c r="B3" s="11"/>
      <c r="C3" s="1" t="s">
        <v>2</v>
      </c>
      <c r="D3" s="20">
        <v>694</v>
      </c>
      <c r="E3" s="21">
        <v>680</v>
      </c>
      <c r="F3" s="20">
        <v>669</v>
      </c>
      <c r="G3" s="20">
        <v>671</v>
      </c>
      <c r="H3" s="20">
        <v>658</v>
      </c>
      <c r="I3" s="20">
        <v>636</v>
      </c>
      <c r="J3" s="20">
        <v>630</v>
      </c>
      <c r="K3" s="20">
        <v>675</v>
      </c>
      <c r="L3" s="20">
        <v>723</v>
      </c>
      <c r="M3" s="3">
        <v>824</v>
      </c>
      <c r="N3" s="3">
        <v>848</v>
      </c>
      <c r="O3" s="3">
        <v>877</v>
      </c>
      <c r="P3" s="3">
        <v>854</v>
      </c>
      <c r="Q3" s="3">
        <v>850</v>
      </c>
      <c r="R3" s="3">
        <v>915</v>
      </c>
      <c r="S3" s="3">
        <v>915</v>
      </c>
      <c r="T3" s="3">
        <v>866</v>
      </c>
      <c r="U3" s="10">
        <v>869</v>
      </c>
    </row>
    <row r="4" spans="1:21" x14ac:dyDescent="0.3">
      <c r="A4" s="11" t="s">
        <v>3</v>
      </c>
      <c r="B4" s="11"/>
      <c r="C4" s="1" t="s">
        <v>2</v>
      </c>
      <c r="D4" s="20">
        <v>383</v>
      </c>
      <c r="E4" s="21">
        <v>384</v>
      </c>
      <c r="F4" s="20">
        <v>372</v>
      </c>
      <c r="G4" s="20">
        <v>363</v>
      </c>
      <c r="H4" s="20">
        <v>367</v>
      </c>
      <c r="I4" s="20">
        <v>368</v>
      </c>
      <c r="J4" s="20">
        <v>374</v>
      </c>
      <c r="K4" s="20">
        <v>404</v>
      </c>
      <c r="L4" s="20">
        <v>423</v>
      </c>
      <c r="M4" s="3">
        <v>392</v>
      </c>
      <c r="N4" s="3">
        <v>392</v>
      </c>
      <c r="O4" s="3">
        <v>398</v>
      </c>
      <c r="P4" s="3">
        <v>400</v>
      </c>
      <c r="Q4" s="3">
        <v>398</v>
      </c>
      <c r="R4" s="3">
        <v>390</v>
      </c>
      <c r="S4" s="3">
        <v>380</v>
      </c>
      <c r="T4" s="3">
        <v>375</v>
      </c>
      <c r="U4" s="10">
        <v>367</v>
      </c>
    </row>
    <row r="5" spans="1:21" x14ac:dyDescent="0.3">
      <c r="A5" s="11" t="s">
        <v>4</v>
      </c>
      <c r="B5" s="11"/>
      <c r="C5" s="1" t="s">
        <v>2</v>
      </c>
      <c r="D5" s="20">
        <v>695</v>
      </c>
      <c r="E5" s="21">
        <v>665</v>
      </c>
      <c r="F5" s="20">
        <v>673</v>
      </c>
      <c r="G5" s="20">
        <v>668</v>
      </c>
      <c r="H5" s="20">
        <v>648</v>
      </c>
      <c r="I5" s="20">
        <v>624</v>
      </c>
      <c r="J5" s="20">
        <v>635</v>
      </c>
      <c r="K5" s="20">
        <v>714</v>
      </c>
      <c r="L5" s="20">
        <v>731</v>
      </c>
      <c r="M5" s="3">
        <v>820</v>
      </c>
      <c r="N5" s="3">
        <v>875</v>
      </c>
      <c r="O5" s="3">
        <v>879</v>
      </c>
      <c r="P5" s="3">
        <v>829</v>
      </c>
      <c r="Q5" s="3">
        <v>871</v>
      </c>
      <c r="R5" s="3">
        <v>959</v>
      </c>
      <c r="S5" s="3">
        <v>870</v>
      </c>
      <c r="T5" s="3">
        <v>861</v>
      </c>
      <c r="U5" s="10">
        <v>877</v>
      </c>
    </row>
    <row r="6" spans="1:21" x14ac:dyDescent="0.3">
      <c r="A6" s="11" t="s">
        <v>3</v>
      </c>
      <c r="B6" s="11"/>
      <c r="C6" s="1" t="s">
        <v>2</v>
      </c>
      <c r="D6" s="20">
        <v>384</v>
      </c>
      <c r="E6" s="21">
        <v>384</v>
      </c>
      <c r="F6" s="20">
        <v>359</v>
      </c>
      <c r="G6" s="20">
        <v>367</v>
      </c>
      <c r="H6" s="20">
        <v>367</v>
      </c>
      <c r="I6" s="20">
        <v>369</v>
      </c>
      <c r="J6" s="20">
        <v>378</v>
      </c>
      <c r="K6" s="20">
        <v>429</v>
      </c>
      <c r="L6" s="20">
        <v>417</v>
      </c>
      <c r="M6" s="3">
        <v>388</v>
      </c>
      <c r="N6" s="3">
        <v>395</v>
      </c>
      <c r="O6" s="3">
        <v>401</v>
      </c>
      <c r="P6" s="3">
        <v>399</v>
      </c>
      <c r="Q6" s="3">
        <v>397</v>
      </c>
      <c r="R6" s="3">
        <v>383</v>
      </c>
      <c r="S6" s="3">
        <v>377</v>
      </c>
      <c r="T6" s="3">
        <v>372</v>
      </c>
      <c r="U6" s="10">
        <v>362</v>
      </c>
    </row>
    <row r="7" spans="1:21" x14ac:dyDescent="0.3">
      <c r="A7" s="11" t="s">
        <v>5</v>
      </c>
      <c r="B7" s="11"/>
      <c r="C7" s="1" t="s">
        <v>2</v>
      </c>
      <c r="D7" s="20">
        <v>20</v>
      </c>
      <c r="E7" s="21">
        <v>12</v>
      </c>
      <c r="F7" s="20">
        <v>11</v>
      </c>
      <c r="G7" s="20">
        <v>5</v>
      </c>
      <c r="H7" s="20">
        <v>10</v>
      </c>
      <c r="I7" s="20">
        <v>13</v>
      </c>
      <c r="J7" s="20">
        <v>9</v>
      </c>
      <c r="K7" s="20">
        <v>6</v>
      </c>
      <c r="L7" s="20">
        <v>21</v>
      </c>
      <c r="M7" s="3">
        <v>31</v>
      </c>
      <c r="N7" s="3">
        <v>22</v>
      </c>
      <c r="O7" s="3">
        <v>13</v>
      </c>
      <c r="P7" s="3">
        <v>11</v>
      </c>
      <c r="Q7" s="3">
        <v>7</v>
      </c>
      <c r="R7" s="3">
        <v>7</v>
      </c>
      <c r="S7" s="3">
        <v>7</v>
      </c>
      <c r="T7" s="3">
        <v>5</v>
      </c>
      <c r="U7" s="10">
        <v>9</v>
      </c>
    </row>
    <row r="8" spans="1:21" x14ac:dyDescent="0.3">
      <c r="A8" s="11" t="s">
        <v>6</v>
      </c>
      <c r="B8" s="11"/>
      <c r="C8" s="1" t="s">
        <v>2</v>
      </c>
      <c r="D8" s="20">
        <v>96</v>
      </c>
      <c r="E8" s="21">
        <v>122</v>
      </c>
      <c r="F8" s="20">
        <v>127</v>
      </c>
      <c r="G8" s="20">
        <v>122</v>
      </c>
      <c r="H8" s="20">
        <v>90</v>
      </c>
      <c r="I8" s="20">
        <v>59</v>
      </c>
      <c r="J8" s="20">
        <v>81</v>
      </c>
      <c r="K8" s="20">
        <v>79</v>
      </c>
      <c r="L8" s="20">
        <v>73</v>
      </c>
      <c r="M8" s="3">
        <v>62</v>
      </c>
      <c r="N8" s="3">
        <v>49</v>
      </c>
      <c r="O8" s="3">
        <v>38</v>
      </c>
      <c r="P8" s="3">
        <v>7</v>
      </c>
      <c r="Q8" s="3">
        <v>11</v>
      </c>
      <c r="R8" s="3">
        <v>19</v>
      </c>
      <c r="S8" s="3">
        <v>14</v>
      </c>
      <c r="T8" s="3">
        <v>8</v>
      </c>
      <c r="U8" s="10">
        <v>24</v>
      </c>
    </row>
    <row r="9" spans="1:21" x14ac:dyDescent="0.3">
      <c r="A9" s="11" t="s">
        <v>7</v>
      </c>
      <c r="B9" s="11"/>
      <c r="C9" s="1" t="s">
        <v>2</v>
      </c>
      <c r="D9" s="20">
        <v>2</v>
      </c>
      <c r="E9" s="21">
        <v>2</v>
      </c>
      <c r="F9" s="20">
        <v>2</v>
      </c>
      <c r="G9" s="20">
        <v>10</v>
      </c>
      <c r="H9" s="20">
        <v>10</v>
      </c>
      <c r="I9" s="20">
        <v>10</v>
      </c>
      <c r="J9" s="20">
        <v>10</v>
      </c>
      <c r="K9" s="20">
        <v>2</v>
      </c>
      <c r="L9" s="20">
        <v>2</v>
      </c>
      <c r="M9" s="5"/>
      <c r="N9" s="5"/>
      <c r="O9" s="5"/>
      <c r="P9" s="5"/>
      <c r="Q9" s="5"/>
      <c r="R9" s="5"/>
      <c r="S9" s="5"/>
      <c r="T9" s="5"/>
      <c r="U9" s="10"/>
    </row>
    <row r="10" spans="1:21" x14ac:dyDescent="0.3">
      <c r="A10" s="11" t="s">
        <v>8</v>
      </c>
      <c r="B10" s="11"/>
      <c r="C10" s="1" t="s">
        <v>2</v>
      </c>
      <c r="D10" s="20">
        <v>24</v>
      </c>
      <c r="E10" s="21">
        <v>24</v>
      </c>
      <c r="F10" s="20">
        <v>17</v>
      </c>
      <c r="G10" s="20">
        <v>18</v>
      </c>
      <c r="H10" s="20">
        <v>15</v>
      </c>
      <c r="I10" s="20">
        <v>12</v>
      </c>
      <c r="J10" s="20">
        <v>12</v>
      </c>
      <c r="K10" s="20">
        <v>22</v>
      </c>
      <c r="L10" s="20">
        <v>12</v>
      </c>
      <c r="M10" s="3">
        <v>3</v>
      </c>
      <c r="N10" s="3">
        <v>3</v>
      </c>
      <c r="O10" s="3">
        <v>3</v>
      </c>
      <c r="P10" s="3">
        <v>1</v>
      </c>
      <c r="Q10" s="3">
        <v>1</v>
      </c>
      <c r="R10" s="3">
        <v>1</v>
      </c>
      <c r="S10" s="3">
        <v>1</v>
      </c>
      <c r="T10" s="5"/>
      <c r="U10" s="10"/>
    </row>
    <row r="11" spans="1:21" x14ac:dyDescent="0.3">
      <c r="A11" s="11" t="s">
        <v>9</v>
      </c>
      <c r="B11" s="11"/>
      <c r="C11" s="1" t="s">
        <v>2</v>
      </c>
      <c r="D11" s="22"/>
      <c r="E11" s="21"/>
      <c r="F11" s="22"/>
      <c r="G11" s="22"/>
      <c r="H11" s="22"/>
      <c r="I11" s="22"/>
      <c r="J11" s="22"/>
      <c r="K11" s="20">
        <v>5</v>
      </c>
      <c r="L11" s="20">
        <v>12</v>
      </c>
      <c r="M11" s="3">
        <v>14</v>
      </c>
      <c r="N11" s="3">
        <v>14</v>
      </c>
      <c r="O11" s="3">
        <v>9</v>
      </c>
      <c r="P11" s="3">
        <v>5</v>
      </c>
      <c r="Q11" s="3">
        <v>5</v>
      </c>
      <c r="R11" s="3">
        <v>5</v>
      </c>
      <c r="S11" s="3">
        <v>5</v>
      </c>
      <c r="T11" s="3">
        <v>2</v>
      </c>
      <c r="U11" s="10">
        <v>2</v>
      </c>
    </row>
    <row r="12" spans="1:21" x14ac:dyDescent="0.3">
      <c r="A12" s="11" t="s">
        <v>10</v>
      </c>
      <c r="B12" s="11"/>
      <c r="C12" s="1" t="s">
        <v>2</v>
      </c>
      <c r="D12" s="20">
        <v>140</v>
      </c>
      <c r="E12" s="21">
        <v>90</v>
      </c>
      <c r="F12" s="20">
        <v>90</v>
      </c>
      <c r="G12" s="20">
        <v>87</v>
      </c>
      <c r="H12" s="20">
        <v>82</v>
      </c>
      <c r="I12" s="20">
        <v>81</v>
      </c>
      <c r="J12" s="20">
        <v>51</v>
      </c>
      <c r="K12" s="20">
        <v>51</v>
      </c>
      <c r="L12" s="20">
        <v>51</v>
      </c>
      <c r="M12" s="5"/>
      <c r="N12" s="5"/>
      <c r="O12" s="5"/>
      <c r="P12" s="5"/>
      <c r="Q12" s="5"/>
      <c r="R12" s="5"/>
      <c r="S12" s="5"/>
      <c r="T12" s="5"/>
      <c r="U12" s="10"/>
    </row>
    <row r="13" spans="1:21" x14ac:dyDescent="0.3">
      <c r="A13" s="11" t="s">
        <v>11</v>
      </c>
      <c r="B13" s="11"/>
      <c r="C13" s="1" t="s">
        <v>2</v>
      </c>
      <c r="D13" s="20">
        <v>17</v>
      </c>
      <c r="E13" s="21">
        <v>16</v>
      </c>
      <c r="F13" s="20">
        <v>20</v>
      </c>
      <c r="G13" s="20">
        <v>10</v>
      </c>
      <c r="H13" s="20">
        <v>9</v>
      </c>
      <c r="I13" s="20">
        <v>6</v>
      </c>
      <c r="J13" s="20">
        <v>13</v>
      </c>
      <c r="K13" s="20">
        <v>7</v>
      </c>
      <c r="L13" s="20">
        <v>12</v>
      </c>
      <c r="M13" s="3">
        <v>65</v>
      </c>
      <c r="N13" s="3">
        <v>89</v>
      </c>
      <c r="O13" s="3">
        <v>89</v>
      </c>
      <c r="P13" s="3">
        <v>89</v>
      </c>
      <c r="Q13" s="3">
        <v>111</v>
      </c>
      <c r="R13" s="3">
        <v>110</v>
      </c>
      <c r="S13" s="3">
        <v>110</v>
      </c>
      <c r="T13" s="3">
        <v>110</v>
      </c>
      <c r="U13" s="10">
        <v>114</v>
      </c>
    </row>
    <row r="14" spans="1:21" x14ac:dyDescent="0.3">
      <c r="A14" s="11" t="s">
        <v>12</v>
      </c>
      <c r="B14" s="11"/>
      <c r="C14" s="1" t="s">
        <v>2</v>
      </c>
      <c r="D14" s="20">
        <v>12</v>
      </c>
      <c r="E14" s="21">
        <v>15</v>
      </c>
      <c r="F14" s="20">
        <v>47</v>
      </c>
      <c r="G14" s="20">
        <v>49</v>
      </c>
      <c r="H14" s="20">
        <v>65</v>
      </c>
      <c r="I14" s="20">
        <v>74</v>
      </c>
      <c r="J14" s="20">
        <v>81</v>
      </c>
      <c r="K14" s="20">
        <v>113</v>
      </c>
      <c r="L14" s="20">
        <v>131</v>
      </c>
      <c r="M14" s="3">
        <v>229</v>
      </c>
      <c r="N14" s="3">
        <v>265</v>
      </c>
      <c r="O14" s="3">
        <v>258</v>
      </c>
      <c r="P14" s="3">
        <v>228</v>
      </c>
      <c r="Q14" s="3">
        <v>227</v>
      </c>
      <c r="R14" s="3">
        <v>219</v>
      </c>
      <c r="S14" s="3">
        <v>84</v>
      </c>
      <c r="T14" s="3">
        <v>84</v>
      </c>
      <c r="U14" s="10">
        <v>83</v>
      </c>
    </row>
    <row r="15" spans="1:21" x14ac:dyDescent="0.3">
      <c r="A15" s="11" t="s">
        <v>13</v>
      </c>
      <c r="B15" s="11"/>
      <c r="C15" s="1" t="s">
        <v>2</v>
      </c>
      <c r="D15" s="22"/>
      <c r="E15" s="21"/>
      <c r="F15" s="22"/>
      <c r="G15" s="22"/>
      <c r="H15" s="22"/>
      <c r="I15" s="22"/>
      <c r="J15" s="22"/>
      <c r="K15" s="22"/>
      <c r="L15" s="22"/>
      <c r="M15" s="3">
        <v>11</v>
      </c>
      <c r="N15" s="3">
        <v>23</v>
      </c>
      <c r="O15" s="3">
        <v>28</v>
      </c>
      <c r="P15" s="3">
        <v>19</v>
      </c>
      <c r="Q15" s="3">
        <v>18</v>
      </c>
      <c r="R15" s="3">
        <v>26</v>
      </c>
      <c r="S15" s="3">
        <v>12</v>
      </c>
      <c r="T15" s="3">
        <v>13</v>
      </c>
      <c r="U15" s="10">
        <v>17</v>
      </c>
    </row>
    <row r="16" spans="1:21" x14ac:dyDescent="0.3">
      <c r="A16" s="11" t="s">
        <v>14</v>
      </c>
      <c r="B16" s="11"/>
      <c r="C16" s="1" t="s">
        <v>2</v>
      </c>
      <c r="D16" s="22"/>
      <c r="E16" s="21"/>
      <c r="F16" s="22"/>
      <c r="G16" s="22"/>
      <c r="H16" s="22"/>
      <c r="I16" s="22"/>
      <c r="J16" s="22"/>
      <c r="K16" s="22"/>
      <c r="L16" s="22"/>
      <c r="M16" s="3">
        <v>17</v>
      </c>
      <c r="N16" s="3">
        <v>15</v>
      </c>
      <c r="O16" s="3">
        <v>40</v>
      </c>
      <c r="P16" s="3">
        <v>70</v>
      </c>
      <c r="Q16" s="3">
        <v>94</v>
      </c>
      <c r="R16" s="3">
        <v>189</v>
      </c>
      <c r="S16" s="3">
        <v>260</v>
      </c>
      <c r="T16" s="3">
        <v>267</v>
      </c>
      <c r="U16" s="10">
        <v>266</v>
      </c>
    </row>
    <row r="17" spans="1:21" x14ac:dyDescent="0.3">
      <c r="A17" s="11" t="s">
        <v>15</v>
      </c>
      <c r="B17" s="11"/>
      <c r="C17" s="1" t="s">
        <v>16</v>
      </c>
      <c r="D17" s="23">
        <v>259.8</v>
      </c>
      <c r="E17" s="21">
        <v>232.4</v>
      </c>
      <c r="F17" s="23">
        <v>260.60000000000002</v>
      </c>
      <c r="G17" s="23">
        <v>257.7</v>
      </c>
      <c r="H17" s="23">
        <v>266.3</v>
      </c>
      <c r="I17" s="23">
        <v>257.7</v>
      </c>
      <c r="J17" s="23">
        <v>266.3</v>
      </c>
      <c r="K17" s="23">
        <v>287.89999999999998</v>
      </c>
      <c r="L17" s="23">
        <v>284.7</v>
      </c>
      <c r="M17" s="6">
        <v>281.8</v>
      </c>
      <c r="N17" s="6">
        <v>256.8</v>
      </c>
      <c r="O17" s="6">
        <v>287.60000000000002</v>
      </c>
      <c r="P17" s="6">
        <v>292</v>
      </c>
      <c r="Q17" s="6">
        <v>299</v>
      </c>
      <c r="R17" s="6">
        <v>286.2</v>
      </c>
      <c r="S17" s="6">
        <v>281.89999999999998</v>
      </c>
      <c r="T17" s="6">
        <v>274.10000000000002</v>
      </c>
      <c r="U17" s="10">
        <v>250.9</v>
      </c>
    </row>
    <row r="18" spans="1:21" x14ac:dyDescent="0.3">
      <c r="A18" s="11" t="s">
        <v>17</v>
      </c>
      <c r="B18" s="11"/>
      <c r="C18" s="1" t="s">
        <v>18</v>
      </c>
      <c r="D18" s="20">
        <v>678</v>
      </c>
      <c r="E18" s="21">
        <v>605</v>
      </c>
      <c r="F18" s="20">
        <v>701</v>
      </c>
      <c r="G18" s="20">
        <v>710</v>
      </c>
      <c r="H18" s="20">
        <v>726</v>
      </c>
      <c r="I18" s="20">
        <v>700</v>
      </c>
      <c r="J18" s="20">
        <v>712</v>
      </c>
      <c r="K18" s="20">
        <v>713</v>
      </c>
      <c r="L18" s="20">
        <v>673</v>
      </c>
      <c r="M18" s="3">
        <v>719</v>
      </c>
      <c r="N18" s="3">
        <v>655</v>
      </c>
      <c r="O18" s="3">
        <v>723</v>
      </c>
      <c r="P18" s="3">
        <v>730</v>
      </c>
      <c r="Q18" s="3">
        <v>751</v>
      </c>
      <c r="R18" s="3">
        <v>734</v>
      </c>
      <c r="S18" s="3">
        <v>742</v>
      </c>
      <c r="T18" s="3">
        <v>731</v>
      </c>
      <c r="U18" s="10">
        <v>684</v>
      </c>
    </row>
    <row r="19" spans="1:21" x14ac:dyDescent="0.3">
      <c r="A19" s="2"/>
      <c r="B19" s="2"/>
      <c r="C19" s="1"/>
      <c r="D19" s="24">
        <v>31</v>
      </c>
      <c r="E19" s="21">
        <v>28</v>
      </c>
      <c r="F19" s="24">
        <v>31</v>
      </c>
      <c r="G19" s="24">
        <v>30</v>
      </c>
      <c r="H19" s="24">
        <v>31</v>
      </c>
      <c r="I19" s="24">
        <v>30</v>
      </c>
      <c r="J19" s="24">
        <v>31</v>
      </c>
      <c r="K19" s="24">
        <v>31</v>
      </c>
      <c r="L19" s="24">
        <v>30</v>
      </c>
      <c r="M19" s="18">
        <v>31</v>
      </c>
      <c r="N19" s="1">
        <v>28</v>
      </c>
      <c r="O19" s="18">
        <v>31</v>
      </c>
      <c r="P19" s="18">
        <v>30</v>
      </c>
      <c r="Q19" s="18">
        <v>31</v>
      </c>
      <c r="R19" s="18">
        <v>30</v>
      </c>
      <c r="S19" s="18">
        <v>31</v>
      </c>
      <c r="T19" s="18">
        <v>31</v>
      </c>
      <c r="U19" s="18">
        <v>30</v>
      </c>
    </row>
    <row r="20" spans="1:21" x14ac:dyDescent="0.3">
      <c r="A20" s="2"/>
      <c r="B20" s="2"/>
      <c r="C20" s="1"/>
      <c r="D20" s="25">
        <f>D18/D19</f>
        <v>21.870967741935484</v>
      </c>
      <c r="E20" s="25">
        <f t="shared" ref="E20:U20" si="0">E18/E19</f>
        <v>21.607142857142858</v>
      </c>
      <c r="F20" s="25">
        <f t="shared" si="0"/>
        <v>22.612903225806452</v>
      </c>
      <c r="G20" s="25">
        <f t="shared" si="0"/>
        <v>23.666666666666668</v>
      </c>
      <c r="H20" s="25">
        <f t="shared" si="0"/>
        <v>23.419354838709676</v>
      </c>
      <c r="I20" s="25">
        <f t="shared" si="0"/>
        <v>23.333333333333332</v>
      </c>
      <c r="J20" s="25">
        <f t="shared" si="0"/>
        <v>22.967741935483872</v>
      </c>
      <c r="K20" s="25">
        <f t="shared" si="0"/>
        <v>23</v>
      </c>
      <c r="L20" s="25">
        <f t="shared" si="0"/>
        <v>22.433333333333334</v>
      </c>
      <c r="M20" s="17">
        <f t="shared" si="0"/>
        <v>23.193548387096776</v>
      </c>
      <c r="N20" s="17">
        <f t="shared" si="0"/>
        <v>23.392857142857142</v>
      </c>
      <c r="O20" s="17">
        <f t="shared" si="0"/>
        <v>23.322580645161292</v>
      </c>
      <c r="P20" s="17">
        <f t="shared" si="0"/>
        <v>24.333333333333332</v>
      </c>
      <c r="Q20" s="17">
        <f t="shared" si="0"/>
        <v>24.225806451612904</v>
      </c>
      <c r="R20" s="17">
        <f t="shared" si="0"/>
        <v>24.466666666666665</v>
      </c>
      <c r="S20" s="17">
        <f t="shared" si="0"/>
        <v>23.93548387096774</v>
      </c>
      <c r="T20" s="17">
        <f t="shared" si="0"/>
        <v>23.580645161290324</v>
      </c>
      <c r="U20" s="17">
        <f t="shared" si="0"/>
        <v>22.8</v>
      </c>
    </row>
    <row r="21" spans="1:21" x14ac:dyDescent="0.3">
      <c r="A21" s="11" t="s">
        <v>19</v>
      </c>
      <c r="B21" s="1" t="s">
        <v>20</v>
      </c>
      <c r="C21" s="12" t="s">
        <v>16</v>
      </c>
      <c r="D21" s="26">
        <v>234.1</v>
      </c>
      <c r="E21" s="21">
        <v>210.9</v>
      </c>
      <c r="F21" s="26">
        <v>239.4</v>
      </c>
      <c r="G21" s="26">
        <v>242.1</v>
      </c>
      <c r="H21" s="26">
        <v>251.8</v>
      </c>
      <c r="I21" s="26">
        <v>240.8</v>
      </c>
      <c r="J21" s="26">
        <v>248.5</v>
      </c>
      <c r="K21" s="26">
        <v>251.9</v>
      </c>
      <c r="L21" s="26">
        <v>231.5</v>
      </c>
      <c r="M21" s="6">
        <v>267.39999999999998</v>
      </c>
      <c r="N21" s="6">
        <v>240.4</v>
      </c>
      <c r="O21" s="6">
        <v>271.10000000000002</v>
      </c>
      <c r="P21" s="6">
        <v>268.60000000000002</v>
      </c>
      <c r="Q21" s="6">
        <v>273.5</v>
      </c>
      <c r="R21" s="6">
        <v>258.3</v>
      </c>
      <c r="S21" s="6">
        <v>255.2</v>
      </c>
      <c r="T21" s="6">
        <v>207.8</v>
      </c>
      <c r="U21" s="10">
        <v>206</v>
      </c>
    </row>
    <row r="22" spans="1:21" x14ac:dyDescent="0.3">
      <c r="A22" s="11"/>
      <c r="B22" s="1" t="s">
        <v>21</v>
      </c>
      <c r="C22" s="12"/>
      <c r="D22" s="27">
        <v>227.9</v>
      </c>
      <c r="E22" s="21">
        <v>207</v>
      </c>
      <c r="F22" s="27">
        <v>231.4</v>
      </c>
      <c r="G22" s="27">
        <v>234.2</v>
      </c>
      <c r="H22" s="27">
        <v>234.6</v>
      </c>
      <c r="I22" s="27">
        <v>222.1</v>
      </c>
      <c r="J22" s="27">
        <v>235.9</v>
      </c>
      <c r="K22" s="27">
        <v>242.7</v>
      </c>
      <c r="L22" s="27">
        <v>228.4</v>
      </c>
      <c r="M22" s="6">
        <v>259.39999999999998</v>
      </c>
      <c r="N22" s="6">
        <v>239.7</v>
      </c>
      <c r="O22" s="6">
        <v>268.8</v>
      </c>
      <c r="P22" s="6">
        <v>264.60000000000002</v>
      </c>
      <c r="Q22" s="6">
        <v>258.8</v>
      </c>
      <c r="R22" s="6">
        <v>248.8</v>
      </c>
      <c r="S22" s="6">
        <v>241.9</v>
      </c>
      <c r="T22" s="6">
        <v>197.1</v>
      </c>
      <c r="U22" s="10">
        <v>199.2</v>
      </c>
    </row>
    <row r="23" spans="1:21" x14ac:dyDescent="0.3">
      <c r="A23" s="11" t="s">
        <v>22</v>
      </c>
      <c r="B23" s="11"/>
      <c r="C23" s="1" t="s">
        <v>23</v>
      </c>
      <c r="D23" s="23">
        <v>90.1</v>
      </c>
      <c r="E23" s="21">
        <v>90.8</v>
      </c>
      <c r="F23" s="23">
        <v>91.9</v>
      </c>
      <c r="G23" s="23">
        <v>93.9</v>
      </c>
      <c r="H23" s="23">
        <v>94.5</v>
      </c>
      <c r="I23" s="23">
        <v>93.4</v>
      </c>
      <c r="J23" s="23">
        <v>93.3</v>
      </c>
      <c r="K23" s="23">
        <v>87.5</v>
      </c>
      <c r="L23" s="23">
        <v>81.3</v>
      </c>
      <c r="M23" s="6">
        <v>94.9</v>
      </c>
      <c r="N23" s="6">
        <v>93.6</v>
      </c>
      <c r="O23" s="6">
        <v>94.2</v>
      </c>
      <c r="P23" s="6">
        <v>92</v>
      </c>
      <c r="Q23" s="6">
        <v>91.5</v>
      </c>
      <c r="R23" s="6">
        <v>90.3</v>
      </c>
      <c r="S23" s="6">
        <v>90.5</v>
      </c>
      <c r="T23" s="6">
        <v>75.8</v>
      </c>
      <c r="U23" s="10">
        <v>82.1</v>
      </c>
    </row>
    <row r="24" spans="1:21" x14ac:dyDescent="0.3">
      <c r="A24" s="11" t="s">
        <v>24</v>
      </c>
      <c r="B24" s="11"/>
      <c r="C24" s="1" t="s">
        <v>23</v>
      </c>
      <c r="D24" s="28">
        <v>3.51</v>
      </c>
      <c r="E24" s="21">
        <v>3.53</v>
      </c>
      <c r="F24" s="28">
        <v>3.48</v>
      </c>
      <c r="G24" s="28">
        <v>3.48</v>
      </c>
      <c r="H24" s="28">
        <v>3.35</v>
      </c>
      <c r="I24" s="28">
        <v>3.32</v>
      </c>
      <c r="J24" s="28">
        <v>3.42</v>
      </c>
      <c r="K24" s="28">
        <v>3.47</v>
      </c>
      <c r="L24" s="28">
        <v>3.55</v>
      </c>
      <c r="M24" s="4">
        <v>3.49</v>
      </c>
      <c r="N24" s="4">
        <v>3.59</v>
      </c>
      <c r="O24" s="4">
        <v>3.57</v>
      </c>
      <c r="P24" s="4">
        <v>3.55</v>
      </c>
      <c r="Q24" s="4">
        <v>3.41</v>
      </c>
      <c r="R24" s="4">
        <v>3.47</v>
      </c>
      <c r="S24" s="4">
        <v>3.41</v>
      </c>
      <c r="T24" s="4">
        <v>3.41</v>
      </c>
      <c r="U24" s="10">
        <v>3.48</v>
      </c>
    </row>
    <row r="25" spans="1:21" x14ac:dyDescent="0.3">
      <c r="A25" s="11" t="s">
        <v>25</v>
      </c>
      <c r="B25" s="11"/>
      <c r="C25" s="1" t="s">
        <v>23</v>
      </c>
      <c r="D25" s="28">
        <v>100</v>
      </c>
      <c r="E25" s="21">
        <v>100</v>
      </c>
      <c r="F25" s="28">
        <v>100</v>
      </c>
      <c r="G25" s="28">
        <v>100</v>
      </c>
      <c r="H25" s="28">
        <v>100</v>
      </c>
      <c r="I25" s="28">
        <v>100</v>
      </c>
      <c r="J25" s="28">
        <v>100</v>
      </c>
      <c r="K25" s="28">
        <v>100</v>
      </c>
      <c r="L25" s="28">
        <v>100</v>
      </c>
      <c r="M25" s="4">
        <v>100</v>
      </c>
      <c r="N25" s="4">
        <v>100</v>
      </c>
      <c r="O25" s="4">
        <v>100</v>
      </c>
      <c r="P25" s="4">
        <v>100</v>
      </c>
      <c r="Q25" s="4">
        <v>100</v>
      </c>
      <c r="R25" s="4">
        <v>100</v>
      </c>
      <c r="S25" s="4">
        <v>100</v>
      </c>
      <c r="T25" s="4">
        <v>100</v>
      </c>
      <c r="U25" s="10">
        <v>100</v>
      </c>
    </row>
    <row r="26" spans="1:21" x14ac:dyDescent="0.3">
      <c r="A26" s="9" t="s">
        <v>26</v>
      </c>
      <c r="B26" s="9"/>
      <c r="C26" s="1" t="s">
        <v>23</v>
      </c>
      <c r="D26" s="28">
        <v>100</v>
      </c>
      <c r="E26" s="21">
        <v>100</v>
      </c>
      <c r="F26" s="28">
        <v>100</v>
      </c>
      <c r="G26" s="28">
        <v>100</v>
      </c>
      <c r="H26" s="28">
        <v>100</v>
      </c>
      <c r="I26" s="28">
        <v>100</v>
      </c>
      <c r="J26" s="28">
        <v>100</v>
      </c>
      <c r="K26" s="28">
        <v>100</v>
      </c>
      <c r="L26" s="28">
        <v>98.44</v>
      </c>
      <c r="M26" s="4">
        <v>75.14</v>
      </c>
      <c r="N26" s="4">
        <v>95.1</v>
      </c>
      <c r="O26" s="4">
        <v>93.99</v>
      </c>
      <c r="P26" s="4">
        <v>90.78</v>
      </c>
      <c r="Q26" s="4">
        <v>98.21</v>
      </c>
      <c r="R26" s="4">
        <v>96.3</v>
      </c>
      <c r="S26" s="4">
        <v>87.27</v>
      </c>
      <c r="T26" s="4">
        <v>83.09</v>
      </c>
      <c r="U26" s="10">
        <v>76.73</v>
      </c>
    </row>
    <row r="27" spans="1:21" x14ac:dyDescent="0.3">
      <c r="A27" s="9" t="s">
        <v>27</v>
      </c>
      <c r="B27" s="9"/>
      <c r="C27" s="1" t="s">
        <v>23</v>
      </c>
      <c r="D27" s="22"/>
      <c r="E27" s="21"/>
      <c r="F27" s="28"/>
      <c r="G27" s="22"/>
      <c r="H27" s="22"/>
      <c r="I27" s="28"/>
      <c r="J27" s="22"/>
      <c r="K27" s="22"/>
      <c r="L27" s="28">
        <v>1.56</v>
      </c>
      <c r="M27" s="4">
        <v>24.86</v>
      </c>
      <c r="N27" s="4">
        <v>4.9000000000000004</v>
      </c>
      <c r="O27" s="4">
        <v>6.01</v>
      </c>
      <c r="P27" s="4">
        <v>9.2200000000000006</v>
      </c>
      <c r="Q27" s="4">
        <v>1.79</v>
      </c>
      <c r="R27" s="4">
        <v>3.7</v>
      </c>
      <c r="S27" s="4">
        <v>12.73</v>
      </c>
      <c r="T27" s="4">
        <v>16.91</v>
      </c>
      <c r="U27" s="10">
        <v>16.71</v>
      </c>
    </row>
    <row r="28" spans="1:21" x14ac:dyDescent="0.3">
      <c r="A28" s="9" t="s">
        <v>52</v>
      </c>
      <c r="B28" s="9"/>
      <c r="C28" s="1" t="s">
        <v>23</v>
      </c>
      <c r="D28" s="22"/>
      <c r="E28" s="21"/>
      <c r="F28" s="22"/>
      <c r="G28" s="22"/>
      <c r="H28" s="22"/>
      <c r="I28" s="22"/>
      <c r="J28" s="22"/>
      <c r="K28" s="22"/>
      <c r="L28" s="22"/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10">
        <v>6.56</v>
      </c>
    </row>
    <row r="29" spans="1:21" x14ac:dyDescent="0.3">
      <c r="A29" s="11" t="s">
        <v>28</v>
      </c>
      <c r="B29" s="11"/>
      <c r="C29" s="1" t="s">
        <v>16</v>
      </c>
      <c r="D29" s="23">
        <v>25.7</v>
      </c>
      <c r="E29" s="21">
        <v>21.5</v>
      </c>
      <c r="F29" s="23">
        <v>21.2</v>
      </c>
      <c r="G29" s="23">
        <v>15.6</v>
      </c>
      <c r="H29" s="23">
        <v>14.5</v>
      </c>
      <c r="I29" s="23">
        <v>16.899999999999999</v>
      </c>
      <c r="J29" s="23">
        <v>17.8</v>
      </c>
      <c r="K29" s="23">
        <v>36.1</v>
      </c>
      <c r="L29" s="23">
        <v>53.2</v>
      </c>
      <c r="M29" s="6">
        <v>14.4</v>
      </c>
      <c r="N29" s="6">
        <v>18.399999999999999</v>
      </c>
      <c r="O29" s="6">
        <v>16.600000000000001</v>
      </c>
      <c r="P29" s="6">
        <v>23.4</v>
      </c>
      <c r="Q29" s="6">
        <v>25.5</v>
      </c>
      <c r="R29" s="6">
        <v>27.9</v>
      </c>
      <c r="S29" s="6">
        <v>26.8</v>
      </c>
      <c r="T29" s="6">
        <v>66.3</v>
      </c>
      <c r="U29" s="10">
        <v>44.9</v>
      </c>
    </row>
    <row r="30" spans="1:21" x14ac:dyDescent="0.3">
      <c r="A30" s="11" t="s">
        <v>29</v>
      </c>
      <c r="B30" s="11"/>
      <c r="C30" s="1" t="s">
        <v>16</v>
      </c>
      <c r="D30" s="23">
        <v>9.6</v>
      </c>
      <c r="E30" s="21">
        <v>7.9</v>
      </c>
      <c r="F30" s="23">
        <v>8.6</v>
      </c>
      <c r="G30" s="23">
        <v>8</v>
      </c>
      <c r="H30" s="23">
        <v>8.1999999999999993</v>
      </c>
      <c r="I30" s="23">
        <v>7.6</v>
      </c>
      <c r="J30" s="23">
        <v>7.8</v>
      </c>
      <c r="K30" s="23">
        <v>8</v>
      </c>
      <c r="L30" s="23">
        <v>8.6</v>
      </c>
      <c r="M30" s="6">
        <v>11.3</v>
      </c>
      <c r="N30" s="6">
        <v>11.6</v>
      </c>
      <c r="O30" s="6">
        <v>13.4</v>
      </c>
      <c r="P30" s="6">
        <v>12.7</v>
      </c>
      <c r="Q30" s="6">
        <v>12.3</v>
      </c>
      <c r="R30" s="6">
        <v>13.6</v>
      </c>
      <c r="S30" s="6">
        <v>14.6</v>
      </c>
      <c r="T30" s="6">
        <v>13.3</v>
      </c>
      <c r="U30" s="10">
        <v>13.6</v>
      </c>
    </row>
    <row r="31" spans="1:21" x14ac:dyDescent="0.3">
      <c r="A31" s="11" t="s">
        <v>30</v>
      </c>
      <c r="B31" s="11"/>
      <c r="C31" s="1" t="s">
        <v>16</v>
      </c>
      <c r="D31" s="23">
        <v>9.6</v>
      </c>
      <c r="E31" s="21">
        <v>7.9</v>
      </c>
      <c r="F31" s="23">
        <v>8.6</v>
      </c>
      <c r="G31" s="23">
        <v>7.9</v>
      </c>
      <c r="H31" s="23">
        <v>8.1999999999999993</v>
      </c>
      <c r="I31" s="23">
        <v>7.6</v>
      </c>
      <c r="J31" s="23">
        <v>7.8</v>
      </c>
      <c r="K31" s="23">
        <v>8</v>
      </c>
      <c r="L31" s="23">
        <v>8</v>
      </c>
      <c r="M31" s="6">
        <v>11</v>
      </c>
      <c r="N31" s="6">
        <v>11.5</v>
      </c>
      <c r="O31" s="6">
        <v>13.3</v>
      </c>
      <c r="P31" s="6">
        <v>12.3</v>
      </c>
      <c r="Q31" s="6">
        <v>12.3</v>
      </c>
      <c r="R31" s="6">
        <v>13.2</v>
      </c>
      <c r="S31" s="6">
        <v>14.4</v>
      </c>
      <c r="T31" s="6">
        <v>13.3</v>
      </c>
      <c r="U31" s="10">
        <v>12.6</v>
      </c>
    </row>
    <row r="32" spans="1:21" x14ac:dyDescent="0.3">
      <c r="A32" s="11" t="s">
        <v>31</v>
      </c>
      <c r="B32" s="11"/>
      <c r="C32" s="1" t="s">
        <v>16</v>
      </c>
      <c r="D32" s="23">
        <v>8.6</v>
      </c>
      <c r="E32" s="21">
        <v>7.2</v>
      </c>
      <c r="F32" s="23">
        <v>7.8</v>
      </c>
      <c r="G32" s="23">
        <v>7.5</v>
      </c>
      <c r="H32" s="23">
        <v>7.5</v>
      </c>
      <c r="I32" s="23">
        <v>7.1</v>
      </c>
      <c r="J32" s="23">
        <v>6.9</v>
      </c>
      <c r="K32" s="23">
        <v>7.5</v>
      </c>
      <c r="L32" s="23">
        <v>7.6</v>
      </c>
      <c r="M32" s="6">
        <v>10.3</v>
      </c>
      <c r="N32" s="6">
        <v>10.6</v>
      </c>
      <c r="O32" s="6">
        <v>12.4</v>
      </c>
      <c r="P32" s="6">
        <v>12.2</v>
      </c>
      <c r="Q32" s="6">
        <v>11.6</v>
      </c>
      <c r="R32" s="6">
        <v>12.7</v>
      </c>
      <c r="S32" s="6">
        <v>13.8</v>
      </c>
      <c r="T32" s="6">
        <v>12.7</v>
      </c>
      <c r="U32" s="10">
        <v>12.6</v>
      </c>
    </row>
    <row r="33" spans="1:21" x14ac:dyDescent="0.3">
      <c r="A33" s="11" t="s">
        <v>32</v>
      </c>
      <c r="B33" s="11"/>
      <c r="C33" s="1" t="s">
        <v>33</v>
      </c>
      <c r="D33" s="20">
        <v>872</v>
      </c>
      <c r="E33" s="21">
        <v>854</v>
      </c>
      <c r="F33" s="20">
        <v>840</v>
      </c>
      <c r="G33" s="20">
        <v>820</v>
      </c>
      <c r="H33" s="20">
        <v>825</v>
      </c>
      <c r="I33" s="20">
        <v>909</v>
      </c>
      <c r="J33" s="20">
        <v>853</v>
      </c>
      <c r="K33" s="20">
        <v>926</v>
      </c>
      <c r="L33" s="20">
        <v>824</v>
      </c>
      <c r="M33" s="3">
        <v>781</v>
      </c>
      <c r="N33" s="3">
        <v>841</v>
      </c>
      <c r="O33" s="3">
        <v>844</v>
      </c>
      <c r="P33" s="3">
        <v>881</v>
      </c>
      <c r="Q33" s="3">
        <v>840</v>
      </c>
      <c r="R33" s="3">
        <v>820</v>
      </c>
      <c r="S33" s="3">
        <v>845</v>
      </c>
      <c r="T33" s="3">
        <v>838</v>
      </c>
      <c r="U33" s="10">
        <v>849</v>
      </c>
    </row>
    <row r="34" spans="1:21" x14ac:dyDescent="0.3">
      <c r="A34" s="11" t="s">
        <v>34</v>
      </c>
      <c r="B34" s="11"/>
      <c r="C34" s="1" t="s">
        <v>33</v>
      </c>
      <c r="D34" s="20">
        <v>819</v>
      </c>
      <c r="E34" s="21">
        <v>780</v>
      </c>
      <c r="F34" s="20">
        <v>828</v>
      </c>
      <c r="G34" s="20">
        <v>926</v>
      </c>
      <c r="H34" s="20">
        <v>894</v>
      </c>
      <c r="I34" s="20">
        <v>984</v>
      </c>
      <c r="J34" s="20">
        <v>906</v>
      </c>
      <c r="K34" s="20">
        <v>908</v>
      </c>
      <c r="L34" s="20">
        <v>966</v>
      </c>
      <c r="M34" s="3">
        <v>624</v>
      </c>
      <c r="N34" s="3">
        <v>875</v>
      </c>
      <c r="O34" s="3">
        <v>728</v>
      </c>
      <c r="P34" s="3">
        <v>801</v>
      </c>
      <c r="Q34" s="3">
        <v>838</v>
      </c>
      <c r="R34" s="3">
        <v>842</v>
      </c>
      <c r="S34" s="3">
        <v>868</v>
      </c>
      <c r="T34" s="3">
        <v>876</v>
      </c>
      <c r="U34" s="10">
        <v>958</v>
      </c>
    </row>
    <row r="35" spans="1:21" x14ac:dyDescent="0.3">
      <c r="A35" s="11" t="s">
        <v>35</v>
      </c>
      <c r="B35" s="11"/>
      <c r="C35" s="1" t="s">
        <v>33</v>
      </c>
      <c r="D35" s="20">
        <v>876</v>
      </c>
      <c r="E35" s="21">
        <v>862</v>
      </c>
      <c r="F35" s="20">
        <v>842</v>
      </c>
      <c r="G35" s="20">
        <v>796</v>
      </c>
      <c r="H35" s="20">
        <v>806</v>
      </c>
      <c r="I35" s="20">
        <v>881</v>
      </c>
      <c r="J35" s="20">
        <v>825</v>
      </c>
      <c r="K35" s="20">
        <v>937</v>
      </c>
      <c r="L35" s="20">
        <v>712</v>
      </c>
      <c r="M35" s="3">
        <v>790</v>
      </c>
      <c r="N35" s="3">
        <v>838</v>
      </c>
      <c r="O35" s="3">
        <v>855</v>
      </c>
      <c r="P35" s="3">
        <v>893</v>
      </c>
      <c r="Q35" s="3">
        <v>841</v>
      </c>
      <c r="R35" s="3">
        <v>809</v>
      </c>
      <c r="S35" s="3">
        <v>826</v>
      </c>
      <c r="T35" s="3">
        <v>790</v>
      </c>
      <c r="U35" s="10">
        <v>710</v>
      </c>
    </row>
    <row r="36" spans="1:21" x14ac:dyDescent="0.3">
      <c r="A36" s="11" t="s">
        <v>36</v>
      </c>
      <c r="B36" s="11"/>
      <c r="C36" s="1" t="s">
        <v>2</v>
      </c>
      <c r="D36" s="20">
        <v>36</v>
      </c>
      <c r="E36" s="21">
        <v>24</v>
      </c>
      <c r="F36" s="20">
        <v>32</v>
      </c>
      <c r="G36" s="20">
        <v>18</v>
      </c>
      <c r="H36" s="20">
        <v>24</v>
      </c>
      <c r="I36" s="20">
        <v>17</v>
      </c>
      <c r="J36" s="20">
        <v>33</v>
      </c>
      <c r="K36" s="20">
        <v>20</v>
      </c>
      <c r="L36" s="20">
        <v>34</v>
      </c>
      <c r="M36" s="3">
        <v>34</v>
      </c>
      <c r="N36" s="3">
        <v>31</v>
      </c>
      <c r="O36" s="3">
        <v>32</v>
      </c>
      <c r="P36" s="3">
        <v>17</v>
      </c>
      <c r="Q36" s="3">
        <v>23</v>
      </c>
      <c r="R36" s="3">
        <v>29</v>
      </c>
      <c r="S36" s="3">
        <v>24</v>
      </c>
      <c r="T36" s="3">
        <v>21</v>
      </c>
      <c r="U36" s="10">
        <v>36</v>
      </c>
    </row>
    <row r="37" spans="1:21" x14ac:dyDescent="0.3">
      <c r="A37" s="11" t="s">
        <v>37</v>
      </c>
      <c r="B37" s="11"/>
      <c r="C37" s="1" t="s">
        <v>2</v>
      </c>
      <c r="D37" s="20">
        <v>21</v>
      </c>
      <c r="E37" s="21">
        <v>12</v>
      </c>
      <c r="F37" s="20">
        <v>24</v>
      </c>
      <c r="G37" s="20">
        <v>10</v>
      </c>
      <c r="H37" s="20">
        <v>21</v>
      </c>
      <c r="I37" s="20">
        <v>12</v>
      </c>
      <c r="J37" s="20">
        <v>25</v>
      </c>
      <c r="K37" s="20">
        <v>14</v>
      </c>
      <c r="L37" s="20">
        <v>29</v>
      </c>
      <c r="M37" s="3">
        <v>28</v>
      </c>
      <c r="N37" s="3">
        <v>22</v>
      </c>
      <c r="O37" s="3">
        <v>21</v>
      </c>
      <c r="P37" s="3">
        <v>11</v>
      </c>
      <c r="Q37" s="3">
        <v>19</v>
      </c>
      <c r="R37" s="3">
        <v>24</v>
      </c>
      <c r="S37" s="3">
        <v>20</v>
      </c>
      <c r="T37" s="3">
        <v>15</v>
      </c>
      <c r="U37" s="10">
        <v>28</v>
      </c>
    </row>
    <row r="38" spans="1:21" x14ac:dyDescent="0.3">
      <c r="A38" s="11" t="s">
        <v>38</v>
      </c>
      <c r="B38" s="11"/>
      <c r="C38" s="1" t="s">
        <v>2</v>
      </c>
      <c r="D38" s="20">
        <v>15</v>
      </c>
      <c r="E38" s="21">
        <v>12</v>
      </c>
      <c r="F38" s="20">
        <v>8</v>
      </c>
      <c r="G38" s="20">
        <v>8</v>
      </c>
      <c r="H38" s="20">
        <v>3</v>
      </c>
      <c r="I38" s="20">
        <v>5</v>
      </c>
      <c r="J38" s="20">
        <v>8</v>
      </c>
      <c r="K38" s="20">
        <v>6</v>
      </c>
      <c r="L38" s="20">
        <v>5</v>
      </c>
      <c r="M38" s="3">
        <v>6</v>
      </c>
      <c r="N38" s="3">
        <v>9</v>
      </c>
      <c r="O38" s="3">
        <v>11</v>
      </c>
      <c r="P38" s="3">
        <v>6</v>
      </c>
      <c r="Q38" s="3">
        <v>4</v>
      </c>
      <c r="R38" s="3">
        <v>5</v>
      </c>
      <c r="S38" s="3">
        <v>4</v>
      </c>
      <c r="T38" s="3">
        <v>6</v>
      </c>
      <c r="U38" s="10">
        <v>8</v>
      </c>
    </row>
    <row r="39" spans="1:21" x14ac:dyDescent="0.3">
      <c r="A39" s="11" t="s">
        <v>39</v>
      </c>
      <c r="B39" s="11"/>
      <c r="C39" s="1" t="s">
        <v>2</v>
      </c>
      <c r="D39" s="23">
        <v>5.5</v>
      </c>
      <c r="E39" s="21">
        <v>3.1</v>
      </c>
      <c r="F39" s="23">
        <v>6.3</v>
      </c>
      <c r="G39" s="23">
        <v>2.6</v>
      </c>
      <c r="H39" s="23">
        <v>5.5</v>
      </c>
      <c r="I39" s="23">
        <v>3.1</v>
      </c>
      <c r="J39" s="23">
        <v>6.6</v>
      </c>
      <c r="K39" s="23">
        <v>3.7</v>
      </c>
      <c r="L39" s="23">
        <v>7.6</v>
      </c>
      <c r="M39" s="6">
        <v>7.1</v>
      </c>
      <c r="N39" s="6">
        <v>5.6</v>
      </c>
      <c r="O39" s="6">
        <v>5.3</v>
      </c>
      <c r="P39" s="6">
        <v>2.8</v>
      </c>
      <c r="Q39" s="6">
        <v>4.8</v>
      </c>
      <c r="R39" s="6">
        <v>6.1</v>
      </c>
      <c r="S39" s="6">
        <v>5.0999999999999996</v>
      </c>
      <c r="T39" s="6">
        <v>3.8</v>
      </c>
      <c r="U39" s="10">
        <v>7.1</v>
      </c>
    </row>
    <row r="40" spans="1:21" x14ac:dyDescent="0.3">
      <c r="A40" s="11" t="s">
        <v>40</v>
      </c>
      <c r="B40" s="11"/>
      <c r="C40" s="1" t="s">
        <v>2</v>
      </c>
      <c r="D40" s="23">
        <v>9.1999999999999993</v>
      </c>
      <c r="E40" s="21">
        <v>6.1</v>
      </c>
      <c r="F40" s="23">
        <v>8.1999999999999993</v>
      </c>
      <c r="G40" s="23">
        <v>4.5999999999999996</v>
      </c>
      <c r="H40" s="23">
        <v>6.1</v>
      </c>
      <c r="I40" s="23">
        <v>4.3</v>
      </c>
      <c r="J40" s="23">
        <v>8.4</v>
      </c>
      <c r="K40" s="23">
        <v>5.0999999999999996</v>
      </c>
      <c r="L40" s="23">
        <v>8.6999999999999993</v>
      </c>
      <c r="M40" s="6">
        <v>8.1999999999999993</v>
      </c>
      <c r="N40" s="6">
        <v>7.5</v>
      </c>
      <c r="O40" s="6">
        <v>7.7</v>
      </c>
      <c r="P40" s="6">
        <v>4.0999999999999996</v>
      </c>
      <c r="Q40" s="6">
        <v>5.6</v>
      </c>
      <c r="R40" s="6">
        <v>7</v>
      </c>
      <c r="S40" s="6">
        <v>5.8</v>
      </c>
      <c r="T40" s="6">
        <v>5.0999999999999996</v>
      </c>
      <c r="U40" s="10">
        <v>8.6999999999999993</v>
      </c>
    </row>
    <row r="41" spans="1:21" x14ac:dyDescent="0.3">
      <c r="A41" s="11" t="s">
        <v>41</v>
      </c>
      <c r="B41" s="11"/>
      <c r="C41" s="1" t="s">
        <v>2</v>
      </c>
      <c r="D41" s="20">
        <v>40</v>
      </c>
      <c r="E41" s="21">
        <v>27</v>
      </c>
      <c r="F41" s="20">
        <v>36</v>
      </c>
      <c r="G41" s="20">
        <v>33</v>
      </c>
      <c r="H41" s="20">
        <v>35</v>
      </c>
      <c r="I41" s="20">
        <v>32</v>
      </c>
      <c r="J41" s="20">
        <v>31</v>
      </c>
      <c r="K41" s="20">
        <v>31</v>
      </c>
      <c r="L41" s="20">
        <v>33</v>
      </c>
      <c r="M41" s="3">
        <v>41</v>
      </c>
      <c r="N41" s="3">
        <v>51</v>
      </c>
      <c r="O41" s="3">
        <v>46</v>
      </c>
      <c r="P41" s="3">
        <v>38</v>
      </c>
      <c r="Q41" s="3">
        <v>40</v>
      </c>
      <c r="R41" s="3">
        <v>39</v>
      </c>
      <c r="S41" s="3">
        <v>38</v>
      </c>
      <c r="T41" s="3">
        <v>30</v>
      </c>
      <c r="U41" s="10">
        <v>45</v>
      </c>
    </row>
    <row r="42" spans="1:21" x14ac:dyDescent="0.3">
      <c r="A42" s="11" t="s">
        <v>42</v>
      </c>
      <c r="B42" s="11"/>
      <c r="C42" s="1" t="s">
        <v>2</v>
      </c>
      <c r="D42" s="20">
        <v>40</v>
      </c>
      <c r="E42" s="21">
        <v>27</v>
      </c>
      <c r="F42" s="20">
        <v>36</v>
      </c>
      <c r="G42" s="20">
        <v>33</v>
      </c>
      <c r="H42" s="20">
        <v>35</v>
      </c>
      <c r="I42" s="20">
        <v>31</v>
      </c>
      <c r="J42" s="20">
        <v>31</v>
      </c>
      <c r="K42" s="20">
        <v>31</v>
      </c>
      <c r="L42" s="20">
        <v>33</v>
      </c>
      <c r="M42" s="3">
        <v>32</v>
      </c>
      <c r="N42" s="3">
        <v>32</v>
      </c>
      <c r="O42" s="3">
        <v>36</v>
      </c>
      <c r="P42" s="3">
        <v>21</v>
      </c>
      <c r="Q42" s="3">
        <v>29</v>
      </c>
      <c r="R42" s="3">
        <v>27</v>
      </c>
      <c r="S42" s="3">
        <v>24</v>
      </c>
      <c r="T42" s="3">
        <v>23</v>
      </c>
      <c r="U42" s="10">
        <v>32</v>
      </c>
    </row>
    <row r="43" spans="1:21" x14ac:dyDescent="0.3">
      <c r="A43" s="11" t="s">
        <v>43</v>
      </c>
      <c r="B43" s="11"/>
      <c r="C43" s="1" t="s">
        <v>2</v>
      </c>
      <c r="D43" s="22"/>
      <c r="E43" s="21"/>
      <c r="F43" s="22"/>
      <c r="G43" s="22"/>
      <c r="H43" s="22"/>
      <c r="I43" s="20">
        <v>1</v>
      </c>
      <c r="J43" s="22"/>
      <c r="K43" s="22"/>
      <c r="L43" s="22"/>
      <c r="M43" s="3">
        <v>9</v>
      </c>
      <c r="N43" s="3">
        <v>19</v>
      </c>
      <c r="O43" s="3">
        <v>10</v>
      </c>
      <c r="P43" s="3">
        <v>17</v>
      </c>
      <c r="Q43" s="3">
        <v>11</v>
      </c>
      <c r="R43" s="3">
        <v>12</v>
      </c>
      <c r="S43" s="3">
        <v>14</v>
      </c>
      <c r="T43" s="3">
        <v>7</v>
      </c>
      <c r="U43" s="10">
        <v>13</v>
      </c>
    </row>
    <row r="44" spans="1:21" x14ac:dyDescent="0.3">
      <c r="A44" s="11" t="s">
        <v>44</v>
      </c>
      <c r="B44" s="11"/>
      <c r="C44" s="1" t="s">
        <v>45</v>
      </c>
      <c r="D44" s="29">
        <v>2947</v>
      </c>
      <c r="E44" s="21">
        <v>2754</v>
      </c>
      <c r="F44" s="29">
        <v>2917</v>
      </c>
      <c r="G44" s="29">
        <v>2516</v>
      </c>
      <c r="H44" s="29">
        <v>2583</v>
      </c>
      <c r="I44" s="29">
        <v>2469</v>
      </c>
      <c r="J44" s="29">
        <v>2219</v>
      </c>
      <c r="K44" s="29">
        <v>2546</v>
      </c>
      <c r="L44" s="29">
        <v>2772</v>
      </c>
      <c r="M44" s="7">
        <v>3450</v>
      </c>
      <c r="N44" s="7">
        <v>3661</v>
      </c>
      <c r="O44" s="7">
        <v>4237</v>
      </c>
      <c r="P44" s="7">
        <v>3846</v>
      </c>
      <c r="Q44" s="7">
        <v>3578</v>
      </c>
      <c r="R44" s="7">
        <v>3775</v>
      </c>
      <c r="S44" s="7">
        <v>4040</v>
      </c>
      <c r="T44" s="7">
        <v>3685</v>
      </c>
      <c r="U44" s="10">
        <v>3614</v>
      </c>
    </row>
    <row r="45" spans="1:21" x14ac:dyDescent="0.3">
      <c r="A45" s="11" t="s">
        <v>46</v>
      </c>
      <c r="B45" s="11"/>
      <c r="C45" s="1" t="s">
        <v>45</v>
      </c>
      <c r="D45" s="28">
        <v>0.82</v>
      </c>
      <c r="E45" s="21">
        <v>0.83</v>
      </c>
      <c r="F45" s="28">
        <v>0.8</v>
      </c>
      <c r="G45" s="28">
        <v>0.72</v>
      </c>
      <c r="H45" s="28">
        <v>0.71</v>
      </c>
      <c r="I45" s="28">
        <v>0.71</v>
      </c>
      <c r="J45" s="28">
        <v>0.6</v>
      </c>
      <c r="K45" s="28">
        <v>0.65</v>
      </c>
      <c r="L45" s="28">
        <v>0.69</v>
      </c>
      <c r="M45" s="4">
        <v>0.9</v>
      </c>
      <c r="N45" s="4">
        <v>1.01</v>
      </c>
      <c r="O45" s="4">
        <v>1.02</v>
      </c>
      <c r="P45" s="4">
        <v>0.93</v>
      </c>
      <c r="Q45" s="4">
        <v>0.82</v>
      </c>
      <c r="R45" s="4">
        <v>0.89</v>
      </c>
      <c r="S45" s="4">
        <v>0.97</v>
      </c>
      <c r="T45" s="4">
        <v>0.83</v>
      </c>
      <c r="U45" s="10">
        <v>0.88</v>
      </c>
    </row>
    <row r="46" spans="1:21" x14ac:dyDescent="0.3">
      <c r="A46" s="11" t="s">
        <v>47</v>
      </c>
      <c r="B46" s="11"/>
      <c r="C46" s="1" t="s">
        <v>45</v>
      </c>
      <c r="D46" s="23">
        <v>8.6</v>
      </c>
      <c r="E46" s="21">
        <v>10.6</v>
      </c>
      <c r="F46" s="23">
        <v>9.6</v>
      </c>
      <c r="G46" s="23">
        <v>8.1999999999999993</v>
      </c>
      <c r="H46" s="23">
        <v>8.5</v>
      </c>
      <c r="I46" s="23">
        <v>8.3000000000000007</v>
      </c>
      <c r="J46" s="23">
        <v>7.9</v>
      </c>
      <c r="K46" s="23">
        <v>8.3000000000000007</v>
      </c>
      <c r="L46" s="23">
        <v>9.6</v>
      </c>
      <c r="M46" s="6">
        <v>8.1</v>
      </c>
      <c r="N46" s="6">
        <v>9.1999999999999993</v>
      </c>
      <c r="O46" s="6">
        <v>9.6999999999999993</v>
      </c>
      <c r="P46" s="6">
        <v>8.9</v>
      </c>
      <c r="Q46" s="6">
        <v>9.1</v>
      </c>
      <c r="R46" s="6">
        <v>9.1</v>
      </c>
      <c r="S46" s="6">
        <v>9.1</v>
      </c>
      <c r="T46" s="6">
        <v>10.6</v>
      </c>
      <c r="U46" s="10">
        <v>10.4</v>
      </c>
    </row>
    <row r="47" spans="1:21" x14ac:dyDescent="0.3">
      <c r="A47" s="11" t="s">
        <v>48</v>
      </c>
      <c r="B47" s="11"/>
      <c r="C47" s="1" t="s">
        <v>2</v>
      </c>
      <c r="D47" s="30">
        <v>15</v>
      </c>
      <c r="E47" s="21">
        <v>34</v>
      </c>
      <c r="F47" s="30">
        <v>53</v>
      </c>
      <c r="G47" s="30">
        <v>26</v>
      </c>
      <c r="H47" s="30">
        <v>37</v>
      </c>
      <c r="I47" s="30">
        <v>41</v>
      </c>
      <c r="J47" s="30">
        <v>20</v>
      </c>
      <c r="K47" s="30">
        <v>21</v>
      </c>
      <c r="L47" s="30">
        <v>23</v>
      </c>
      <c r="M47" s="3">
        <v>55</v>
      </c>
      <c r="N47" s="3">
        <v>8</v>
      </c>
      <c r="O47" s="3">
        <v>30</v>
      </c>
      <c r="P47" s="3">
        <v>14</v>
      </c>
      <c r="Q47" s="3">
        <v>12</v>
      </c>
      <c r="R47" s="3">
        <v>21</v>
      </c>
      <c r="S47" s="3">
        <v>29</v>
      </c>
      <c r="T47" s="3">
        <v>26</v>
      </c>
      <c r="U47" s="10">
        <v>14</v>
      </c>
    </row>
    <row r="48" spans="1:21" x14ac:dyDescent="0.3">
      <c r="A48" s="11"/>
      <c r="B48" s="11"/>
      <c r="C48" s="1" t="s">
        <v>16</v>
      </c>
      <c r="D48" s="27">
        <v>9.3000000000000007</v>
      </c>
      <c r="E48" s="21">
        <v>17.399999999999999</v>
      </c>
      <c r="F48" s="27">
        <v>34.299999999999997</v>
      </c>
      <c r="G48" s="27">
        <v>14.3</v>
      </c>
      <c r="H48" s="27">
        <v>19.7</v>
      </c>
      <c r="I48" s="27">
        <v>22.1</v>
      </c>
      <c r="J48" s="27">
        <v>8.4</v>
      </c>
      <c r="K48" s="27">
        <v>13.6</v>
      </c>
      <c r="L48" s="27">
        <v>11.8</v>
      </c>
      <c r="M48" s="6">
        <v>30.1</v>
      </c>
      <c r="N48" s="6">
        <v>2.9</v>
      </c>
      <c r="O48" s="6">
        <v>11.5</v>
      </c>
      <c r="P48" s="6">
        <v>6.8</v>
      </c>
      <c r="Q48" s="6">
        <v>3.4</v>
      </c>
      <c r="R48" s="6">
        <v>7.3</v>
      </c>
      <c r="S48" s="6">
        <v>10.7</v>
      </c>
      <c r="T48" s="6">
        <v>11.3</v>
      </c>
      <c r="U48" s="10">
        <v>5.8</v>
      </c>
    </row>
    <row r="49" spans="1:21" x14ac:dyDescent="0.3">
      <c r="A49" s="13" t="s">
        <v>49</v>
      </c>
      <c r="B49" s="13"/>
      <c r="C49" s="1" t="s">
        <v>18</v>
      </c>
      <c r="D49" s="31">
        <v>620</v>
      </c>
      <c r="E49" s="21">
        <v>511</v>
      </c>
      <c r="F49" s="31">
        <v>648</v>
      </c>
      <c r="G49" s="31">
        <v>551</v>
      </c>
      <c r="H49" s="31">
        <v>532</v>
      </c>
      <c r="I49" s="31">
        <v>540</v>
      </c>
      <c r="J49" s="31">
        <v>418</v>
      </c>
      <c r="K49" s="31">
        <v>649</v>
      </c>
      <c r="L49" s="31">
        <v>512</v>
      </c>
      <c r="M49" s="3">
        <v>547</v>
      </c>
      <c r="N49" s="3">
        <v>358</v>
      </c>
      <c r="O49" s="3">
        <v>384</v>
      </c>
      <c r="P49" s="3">
        <v>489</v>
      </c>
      <c r="Q49" s="3">
        <v>283</v>
      </c>
      <c r="R49" s="3">
        <v>346</v>
      </c>
      <c r="S49" s="3">
        <v>369</v>
      </c>
      <c r="T49" s="3">
        <v>433</v>
      </c>
      <c r="U49" s="10">
        <v>412</v>
      </c>
    </row>
    <row r="50" spans="1:21" x14ac:dyDescent="0.3">
      <c r="A50" s="11" t="s">
        <v>50</v>
      </c>
      <c r="B50" s="11"/>
      <c r="C50" s="1" t="s">
        <v>2</v>
      </c>
      <c r="D50" s="30">
        <v>14</v>
      </c>
      <c r="E50" s="21">
        <v>33</v>
      </c>
      <c r="F50" s="30">
        <v>53</v>
      </c>
      <c r="G50" s="30">
        <v>26</v>
      </c>
      <c r="H50" s="30">
        <v>36</v>
      </c>
      <c r="I50" s="30">
        <v>41</v>
      </c>
      <c r="J50" s="30">
        <v>19</v>
      </c>
      <c r="K50" s="30">
        <v>21</v>
      </c>
      <c r="L50" s="30">
        <v>23</v>
      </c>
      <c r="M50" s="3">
        <v>55</v>
      </c>
      <c r="N50" s="3">
        <v>8</v>
      </c>
      <c r="O50" s="3">
        <v>30</v>
      </c>
      <c r="P50" s="3">
        <v>14</v>
      </c>
      <c r="Q50" s="3">
        <v>12</v>
      </c>
      <c r="R50" s="3">
        <v>21</v>
      </c>
      <c r="S50" s="3">
        <v>28</v>
      </c>
      <c r="T50" s="3">
        <v>26</v>
      </c>
      <c r="U50" s="10">
        <v>14</v>
      </c>
    </row>
    <row r="51" spans="1:21" x14ac:dyDescent="0.3">
      <c r="A51" s="11"/>
      <c r="B51" s="11"/>
      <c r="C51" s="1" t="s">
        <v>16</v>
      </c>
      <c r="D51" s="27">
        <v>8.6</v>
      </c>
      <c r="E51" s="21">
        <v>17</v>
      </c>
      <c r="F51" s="27">
        <v>34.299999999999997</v>
      </c>
      <c r="G51" s="27">
        <v>14.3</v>
      </c>
      <c r="H51" s="27">
        <v>19.600000000000001</v>
      </c>
      <c r="I51" s="27">
        <v>22.1</v>
      </c>
      <c r="J51" s="27">
        <v>7.8</v>
      </c>
      <c r="K51" s="27">
        <v>13.6</v>
      </c>
      <c r="L51" s="27">
        <v>11.8</v>
      </c>
      <c r="M51" s="6">
        <v>30.1</v>
      </c>
      <c r="N51" s="6">
        <v>2.9</v>
      </c>
      <c r="O51" s="6">
        <v>11.5</v>
      </c>
      <c r="P51" s="6">
        <v>6.8</v>
      </c>
      <c r="Q51" s="6">
        <v>3.4</v>
      </c>
      <c r="R51" s="6">
        <v>7.3</v>
      </c>
      <c r="S51" s="6">
        <v>10.1</v>
      </c>
      <c r="T51" s="6">
        <v>11.3</v>
      </c>
      <c r="U51" s="10">
        <v>5.8</v>
      </c>
    </row>
    <row r="52" spans="1:21" x14ac:dyDescent="0.3">
      <c r="A52" s="13" t="s">
        <v>49</v>
      </c>
      <c r="B52" s="13"/>
      <c r="C52" s="1" t="s">
        <v>18</v>
      </c>
      <c r="D52" s="31">
        <v>617</v>
      </c>
      <c r="E52" s="21">
        <v>515</v>
      </c>
      <c r="F52" s="31">
        <v>648</v>
      </c>
      <c r="G52" s="31">
        <v>551</v>
      </c>
      <c r="H52" s="31">
        <v>544</v>
      </c>
      <c r="I52" s="31">
        <v>540</v>
      </c>
      <c r="J52" s="31">
        <v>411</v>
      </c>
      <c r="K52" s="31">
        <v>649</v>
      </c>
      <c r="L52" s="31">
        <v>512</v>
      </c>
      <c r="M52" s="3">
        <v>547</v>
      </c>
      <c r="N52" s="3">
        <v>358</v>
      </c>
      <c r="O52" s="3">
        <v>384</v>
      </c>
      <c r="P52" s="3">
        <v>489</v>
      </c>
      <c r="Q52" s="3">
        <v>283</v>
      </c>
      <c r="R52" s="3">
        <v>346</v>
      </c>
      <c r="S52" s="3">
        <v>359</v>
      </c>
      <c r="T52" s="3">
        <v>433</v>
      </c>
      <c r="U52" s="10">
        <v>412</v>
      </c>
    </row>
    <row r="53" spans="1:21" x14ac:dyDescent="0.3">
      <c r="A53" s="11" t="s">
        <v>51</v>
      </c>
      <c r="B53" s="11"/>
      <c r="C53" s="1" t="s">
        <v>2</v>
      </c>
      <c r="D53" s="20">
        <v>1</v>
      </c>
      <c r="E53" s="21">
        <v>1</v>
      </c>
      <c r="F53" s="22"/>
      <c r="G53" s="20">
        <v>1</v>
      </c>
      <c r="H53" s="20">
        <v>3</v>
      </c>
      <c r="I53" s="20">
        <v>2</v>
      </c>
      <c r="J53" s="20">
        <v>1</v>
      </c>
      <c r="K53" s="20">
        <v>2</v>
      </c>
      <c r="L53" s="20">
        <v>5</v>
      </c>
      <c r="M53" s="3">
        <v>2</v>
      </c>
      <c r="N53" s="3">
        <v>3</v>
      </c>
      <c r="O53" s="3">
        <v>4</v>
      </c>
      <c r="P53" s="3">
        <v>3</v>
      </c>
      <c r="Q53" s="3">
        <v>2</v>
      </c>
      <c r="R53" s="3">
        <v>2</v>
      </c>
      <c r="S53" s="3">
        <v>4</v>
      </c>
      <c r="T53" s="5"/>
      <c r="U53" s="10">
        <v>5</v>
      </c>
    </row>
  </sheetData>
  <mergeCells count="46">
    <mergeCell ref="A49:B49"/>
    <mergeCell ref="A50:B51"/>
    <mergeCell ref="A52:B52"/>
    <mergeCell ref="A53:B53"/>
    <mergeCell ref="A1:U1"/>
    <mergeCell ref="A42:B42"/>
    <mergeCell ref="A43:B43"/>
    <mergeCell ref="A44:B44"/>
    <mergeCell ref="A45:B45"/>
    <mergeCell ref="A46:B46"/>
    <mergeCell ref="A47:B48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3:B23"/>
    <mergeCell ref="A24:B24"/>
    <mergeCell ref="A25:B25"/>
    <mergeCell ref="A29:B29"/>
    <mergeCell ref="A15:B15"/>
    <mergeCell ref="A16:B16"/>
    <mergeCell ref="A17:B17"/>
    <mergeCell ref="A18:B18"/>
    <mergeCell ref="A21:A22"/>
    <mergeCell ref="C21:C22"/>
    <mergeCell ref="A9:B9"/>
    <mergeCell ref="A10:B10"/>
    <mergeCell ref="A11:B11"/>
    <mergeCell ref="A12:B12"/>
    <mergeCell ref="A13:B13"/>
    <mergeCell ref="A14:B14"/>
    <mergeCell ref="A8:B8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Миша Лухтан</dc:creator>
  <cp:lastModifiedBy>Миша Лухтан</cp:lastModifiedBy>
  <dcterms:created xsi:type="dcterms:W3CDTF">2026-10-03T08:42:41Z</dcterms:created>
  <dcterms:modified xsi:type="dcterms:W3CDTF">2026-10-03T11:31:26Z</dcterms:modified>
</cp:coreProperties>
</file>