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353D93F9-0626-4E56-9C88-187389CCE0EC}" xr6:coauthVersionLast="47" xr6:coauthVersionMax="47" xr10:uidLastSave="{00000000-0000-0000-0000-000000000000}"/>
  <bookViews>
    <workbookView xWindow="-108" yWindow="-108" windowWidth="23256" windowHeight="12456" xr2:uid="{6B24E1EE-E8C6-4B48-9C69-4C034E09805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<sst xmlns="http://schemas.openxmlformats.org/spreadsheetml/2006/main" count="93" uniqueCount="51">
  <si>
    <t>Показатель</t>
  </si>
  <si>
    <t>Ед. изм.</t>
  </si>
  <si>
    <t>Среднее поголовье</t>
  </si>
  <si>
    <t>Голов</t>
  </si>
  <si>
    <t xml:space="preserve">        Коровы</t>
  </si>
  <si>
    <t>Поголовье на конец месяца</t>
  </si>
  <si>
    <t xml:space="preserve">        Нетели</t>
  </si>
  <si>
    <t xml:space="preserve">        Откорм</t>
  </si>
  <si>
    <t xml:space="preserve">        Телки 2023</t>
  </si>
  <si>
    <t xml:space="preserve">        Телки 2024</t>
  </si>
  <si>
    <t xml:space="preserve">        Телки 2025</t>
  </si>
  <si>
    <t xml:space="preserve">        Бычки 2025</t>
  </si>
  <si>
    <t xml:space="preserve">        Телки 2026</t>
  </si>
  <si>
    <t xml:space="preserve">        Бычки 2026</t>
  </si>
  <si>
    <t>Валовой надой молока, физический вес</t>
  </si>
  <si>
    <t>Тонн</t>
  </si>
  <si>
    <t>Удой на среднюю корову</t>
  </si>
  <si>
    <t>Кг</t>
  </si>
  <si>
    <t>Товарность молока</t>
  </si>
  <si>
    <t>%</t>
  </si>
  <si>
    <t>Жирность молока</t>
  </si>
  <si>
    <t>Реализовано в процентах от общего</t>
  </si>
  <si>
    <t xml:space="preserve">        экстра</t>
  </si>
  <si>
    <t xml:space="preserve">        высший сорт</t>
  </si>
  <si>
    <t>Выпоено молока телятам, физический вес</t>
  </si>
  <si>
    <t>Продукция прироста</t>
  </si>
  <si>
    <t>Продукция выращивания</t>
  </si>
  <si>
    <t>Получено валового привеса</t>
  </si>
  <si>
    <t>Среднесуточный привес</t>
  </si>
  <si>
    <t>Грамм</t>
  </si>
  <si>
    <t xml:space="preserve">        молодняк текущего года</t>
  </si>
  <si>
    <t xml:space="preserve">        молодняк прошлых лет</t>
  </si>
  <si>
    <t>Получено приплода всего</t>
  </si>
  <si>
    <t xml:space="preserve">        от коров</t>
  </si>
  <si>
    <t xml:space="preserve">        от нетелей</t>
  </si>
  <si>
    <t>Выход приплода на 100 коров</t>
  </si>
  <si>
    <t>Выход приплода на 100 коров и нетелей</t>
  </si>
  <si>
    <t>Осеменено всего</t>
  </si>
  <si>
    <t xml:space="preserve">        коров</t>
  </si>
  <si>
    <t xml:space="preserve">        нетелей</t>
  </si>
  <si>
    <t>Расход кормов всего</t>
  </si>
  <si>
    <t>ЦКЕД</t>
  </si>
  <si>
    <t xml:space="preserve">        на 1ц молока</t>
  </si>
  <si>
    <t xml:space="preserve">        на 1ц прироста</t>
  </si>
  <si>
    <t>Реализовано КРС всего</t>
  </si>
  <si>
    <t>Средний вес 1 головы</t>
  </si>
  <si>
    <t xml:space="preserve">      Мясокомбинат</t>
  </si>
  <si>
    <t>Падеж</t>
  </si>
  <si>
    <t>Анализ работы МТФ Оберовщина за 2025- 2026 года</t>
  </si>
  <si>
    <t>Реализовано молока государству физ. Вес</t>
  </si>
  <si>
    <t>Реализовано молока государству зач. Вес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</si>
</sst>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charset val="204"/>
      <scheme val="minor"/>
    </font>
    <font>
      <sz val="14"/>
      <name val="Arial"/>
      <family val="2"/>
      <charset val="1"/>
    </font>
    <font>
      <sz val="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3" fontId="2" fillId="0" borderId="3" xfId="0" applyNumberFormat="1" applyFont="1" applyBorder="1" applyAlignment="1">
      <alignment horizontal="right" vertical="center" wrapText="1"/>
    </xf>
    <xf numFmtId="1" fontId="2" fillId="0" borderId="3" xfId="0" applyNumberFormat="1" applyFont="1" applyBorder="1" applyAlignment="1">
      <alignment horizontal="right" vertical="center" wrapText="1"/>
    </xf>
    <xf numFmtId="2" fontId="2" fillId="0" borderId="3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164" fontId="2" fillId="0" borderId="3" xfId="0" applyNumberFormat="1" applyFont="1" applyBorder="1" applyAlignment="1">
      <alignment horizontal="right" vertical="center" wrapText="1"/>
    </xf>
    <xf numFmtId="0" fontId="2" fillId="0" borderId="6" xfId="0" applyFont="1" applyBorder="1" applyAlignment="1">
      <alignment horizontal="center" vertical="center" wrapText="1"/>
    </xf>
    <xf numFmtId="164" fontId="2" fillId="0" borderId="7" xfId="0" applyNumberFormat="1" applyFont="1" applyBorder="1" applyAlignment="1">
      <alignment horizontal="right" vertical="center" wrapText="1"/>
    </xf>
    <xf numFmtId="0" fontId="2" fillId="0" borderId="9" xfId="0" applyFont="1" applyBorder="1" applyAlignment="1">
      <alignment horizontal="center" vertical="center" wrapText="1"/>
    </xf>
    <xf numFmtId="164" fontId="2" fillId="0" borderId="10" xfId="0" applyNumberFormat="1" applyFont="1" applyBorder="1" applyAlignment="1">
      <alignment horizontal="right" vertical="center" wrapText="1"/>
    </xf>
    <xf numFmtId="0" fontId="2" fillId="0" borderId="2" xfId="0" applyFont="1" applyBorder="1" applyAlignment="1">
      <alignment vertical="center" wrapText="1"/>
    </xf>
    <xf numFmtId="1" fontId="2" fillId="0" borderId="7" xfId="0" applyNumberFormat="1" applyFont="1" applyBorder="1" applyAlignment="1">
      <alignment horizontal="right" vertical="center" wrapText="1"/>
    </xf>
    <xf numFmtId="0" fontId="2" fillId="0" borderId="11" xfId="0" applyFont="1" applyBorder="1" applyAlignment="1">
      <alignment vertical="center" wrapText="1"/>
    </xf>
    <xf numFmtId="0" fontId="2" fillId="0" borderId="5" xfId="0" applyFont="1" applyBorder="1" applyAlignment="1">
      <alignment horizontal="right" vertical="center"/>
    </xf>
    <xf numFmtId="1" fontId="2" fillId="0" borderId="10" xfId="0" applyNumberFormat="1" applyFont="1" applyBorder="1" applyAlignment="1">
      <alignment horizontal="right" vertical="center" wrapText="1"/>
    </xf>
    <xf numFmtId="17" fontId="2" fillId="0" borderId="3" xfId="0" applyNumberFormat="1" applyFont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17" fontId="2" fillId="2" borderId="3" xfId="0" applyNumberFormat="1" applyFont="1" applyFill="1" applyBorder="1" applyAlignment="1">
      <alignment vertical="center" wrapText="1"/>
    </xf>
    <xf numFmtId="3" fontId="2" fillId="2" borderId="3" xfId="0" applyNumberFormat="1" applyFont="1" applyFill="1" applyBorder="1" applyAlignment="1">
      <alignment horizontal="right" vertical="center" wrapText="1"/>
    </xf>
    <xf numFmtId="1" fontId="2" fillId="2" borderId="3" xfId="0" applyNumberFormat="1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164" fontId="2" fillId="2" borderId="3" xfId="0" applyNumberFormat="1" applyFont="1" applyFill="1" applyBorder="1" applyAlignment="1">
      <alignment horizontal="right" vertical="center" wrapText="1"/>
    </xf>
    <xf numFmtId="2" fontId="2" fillId="2" borderId="3" xfId="0" applyNumberFormat="1" applyFont="1" applyFill="1" applyBorder="1" applyAlignment="1">
      <alignment horizontal="right" vertical="center" wrapText="1"/>
    </xf>
    <xf numFmtId="0" fontId="0" fillId="2" borderId="0" xfId="0" applyFill="1"/>
    <xf numFmtId="0" fontId="1" fillId="0" borderId="12" xfId="0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0" fillId="2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Лист1!$A$4:$C$4</c:f>
              <c:strCache>
                <c:ptCount val="3"/>
                <c:pt idx="0">
                  <c:v>        Коровы</c:v>
                </c:pt>
                <c:pt idx="2">
                  <c:v>Голов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Лист1!$D$2:$U$2</c15:sqref>
                  </c15:fullRef>
                </c:ext>
              </c:extLst>
              <c:f>Лист1!$M$2:$U$2</c:f>
              <c:numCache>
                <c:formatCode>mmm\-yy</c:formatCode>
                <c:ptCount val="9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Лист1!$D$4:$U$4</c15:sqref>
                  </c15:fullRef>
                </c:ext>
              </c:extLst>
              <c:f>Лист1!$M$4:$U$4</c:f>
              <c:numCache>
                <c:formatCode>0</c:formatCode>
                <c:ptCount val="9"/>
                <c:pt idx="0">
                  <c:v>783</c:v>
                </c:pt>
                <c:pt idx="1">
                  <c:v>785</c:v>
                </c:pt>
                <c:pt idx="2">
                  <c:v>785</c:v>
                </c:pt>
                <c:pt idx="3">
                  <c:v>784</c:v>
                </c:pt>
                <c:pt idx="4">
                  <c:v>783</c:v>
                </c:pt>
                <c:pt idx="5">
                  <c:v>784</c:v>
                </c:pt>
                <c:pt idx="6">
                  <c:v>786</c:v>
                </c:pt>
                <c:pt idx="7">
                  <c:v>788</c:v>
                </c:pt>
                <c:pt idx="8">
                  <c:v>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F6-4B3B-9DD2-2E89E44F2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8929352"/>
        <c:axId val="578929712"/>
      </c:barChart>
      <c:lineChart>
        <c:grouping val="standard"/>
        <c:varyColors val="0"/>
        <c:ser>
          <c:idx val="12"/>
          <c:order val="12"/>
          <c:tx>
            <c:strRef>
              <c:f>Лист1!$A$15:$C$15</c:f>
              <c:strCache>
                <c:ptCount val="3"/>
                <c:pt idx="0">
                  <c:v>Валовой надой молока, физический вес</c:v>
                </c:pt>
                <c:pt idx="2">
                  <c:v>Тонн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Лист1!$D$2:$U$2</c15:sqref>
                  </c15:fullRef>
                </c:ext>
              </c:extLst>
              <c:f>Лист1!$M$2:$U$2</c:f>
              <c:numCache>
                <c:formatCode>mmm\-yy</c:formatCode>
                <c:ptCount val="9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Лист1!$D$15:$U$15</c15:sqref>
                  </c15:fullRef>
                </c:ext>
              </c:extLst>
              <c:f>Лист1!$M$15:$U$15</c:f>
              <c:numCache>
                <c:formatCode>0.0</c:formatCode>
                <c:ptCount val="9"/>
                <c:pt idx="0">
                  <c:v>620.70000000000005</c:v>
                </c:pt>
                <c:pt idx="1">
                  <c:v>561.4</c:v>
                </c:pt>
                <c:pt idx="2">
                  <c:v>619.20000000000005</c:v>
                </c:pt>
                <c:pt idx="3">
                  <c:v>599.1</c:v>
                </c:pt>
                <c:pt idx="4">
                  <c:v>624.4</c:v>
                </c:pt>
                <c:pt idx="5">
                  <c:v>604</c:v>
                </c:pt>
                <c:pt idx="6">
                  <c:v>609.20000000000005</c:v>
                </c:pt>
                <c:pt idx="7">
                  <c:v>583</c:v>
                </c:pt>
                <c:pt idx="8">
                  <c:v>561.1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3F6-4B3B-9DD2-2E89E44F2E7F}"/>
            </c:ext>
          </c:extLst>
        </c:ser>
        <c:ser>
          <c:idx val="14"/>
          <c:order val="14"/>
          <c:tx>
            <c:strRef>
              <c:f>Лист1!$A$17:$C$17</c:f>
              <c:strCache>
                <c:ptCount val="3"/>
                <c:pt idx="0">
                  <c:v>Реализовано молока государству физ. Вес</c:v>
                </c:pt>
                <c:pt idx="2">
                  <c:v>Тонн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Лист1!$D$2:$U$2</c15:sqref>
                  </c15:fullRef>
                </c:ext>
              </c:extLst>
              <c:f>Лист1!$M$2:$U$2</c:f>
              <c:numCache>
                <c:formatCode>mmm\-yy</c:formatCode>
                <c:ptCount val="9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Лист1!$D$17:$U$17</c15:sqref>
                  </c15:fullRef>
                </c:ext>
              </c:extLst>
              <c:f>Лист1!$M$17:$U$17</c:f>
              <c:numCache>
                <c:formatCode>0.0</c:formatCode>
                <c:ptCount val="9"/>
                <c:pt idx="0">
                  <c:v>572.5</c:v>
                </c:pt>
                <c:pt idx="1">
                  <c:v>514.4</c:v>
                </c:pt>
                <c:pt idx="2">
                  <c:v>562.70000000000005</c:v>
                </c:pt>
                <c:pt idx="3">
                  <c:v>555.9</c:v>
                </c:pt>
                <c:pt idx="4">
                  <c:v>576.70000000000005</c:v>
                </c:pt>
                <c:pt idx="5">
                  <c:v>558.5</c:v>
                </c:pt>
                <c:pt idx="6">
                  <c:v>550.4</c:v>
                </c:pt>
                <c:pt idx="7">
                  <c:v>509.2</c:v>
                </c:pt>
                <c:pt idx="8">
                  <c:v>513.6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3F6-4B3B-9DD2-2E89E44F2E7F}"/>
            </c:ext>
          </c:extLst>
        </c:ser>
        <c:ser>
          <c:idx val="15"/>
          <c:order val="15"/>
          <c:tx>
            <c:strRef>
              <c:f>Лист1!$A$18:$C$18</c:f>
              <c:strCache>
                <c:ptCount val="3"/>
                <c:pt idx="0">
                  <c:v>Реализовано молока государству зач. Вес</c:v>
                </c:pt>
                <c:pt idx="2">
                  <c:v>Тонн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extLst>
                <c:ext xmlns:c15="http://schemas.microsoft.com/office/drawing/2012/chart" uri="{02D57815-91ED-43cb-92C2-25804820EDAC}">
                  <c15:fullRef>
                    <c15:sqref>Лист1!$D$2:$U$2</c15:sqref>
                  </c15:fullRef>
                </c:ext>
              </c:extLst>
              <c:f>Лист1!$M$2:$U$2</c:f>
              <c:numCache>
                <c:formatCode>mmm\-yy</c:formatCode>
                <c:ptCount val="9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Лист1!$D$18:$U$18</c15:sqref>
                  </c15:fullRef>
                </c:ext>
              </c:extLst>
              <c:f>Лист1!$M$18:$U$18</c:f>
              <c:numCache>
                <c:formatCode>0.0</c:formatCode>
                <c:ptCount val="9"/>
                <c:pt idx="0">
                  <c:v>503.6</c:v>
                </c:pt>
                <c:pt idx="1">
                  <c:v>471.4</c:v>
                </c:pt>
                <c:pt idx="2">
                  <c:v>516.20000000000005</c:v>
                </c:pt>
                <c:pt idx="3">
                  <c:v>520</c:v>
                </c:pt>
                <c:pt idx="4">
                  <c:v>547.6</c:v>
                </c:pt>
                <c:pt idx="5">
                  <c:v>523.9</c:v>
                </c:pt>
                <c:pt idx="6">
                  <c:v>499.9</c:v>
                </c:pt>
                <c:pt idx="7">
                  <c:v>462.8</c:v>
                </c:pt>
                <c:pt idx="8">
                  <c:v>466.7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3F6-4B3B-9DD2-2E89E44F2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8929352"/>
        <c:axId val="57892971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Лист1!$A$3:$C$3</c15:sqref>
                        </c15:formulaRef>
                      </c:ext>
                    </c:extLst>
                    <c:strCache>
                      <c:ptCount val="3"/>
                      <c:pt idx="0">
                        <c:v>Среднее поголовье</c:v>
                      </c:pt>
                      <c:pt idx="2">
                        <c:v>Голов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ullRef>
                          <c15:sqref>Лист1!$D$2:$U$2</c15:sqref>
                        </c15:fullRef>
                        <c15:formulaRef>
                          <c15:sqref>Лист1!$M$2:$U$2</c15:sqref>
                        </c15:formulaRef>
                      </c:ext>
                    </c:extLst>
                    <c:numCache>
                      <c:formatCode>mmm\-yy</c:formatCode>
                      <c:ptCount val="9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Лист1!$D$3:$U$3</c15:sqref>
                        </c15:fullRef>
                        <c15:formulaRef>
                          <c15:sqref>Лист1!$M$3:$U$3</c15:sqref>
                        </c15:formulaRef>
                      </c:ext>
                    </c:extLst>
                    <c:numCache>
                      <c:formatCode>#,##0</c:formatCode>
                      <c:ptCount val="9"/>
                      <c:pt idx="0">
                        <c:v>1756</c:v>
                      </c:pt>
                      <c:pt idx="1">
                        <c:v>1755</c:v>
                      </c:pt>
                      <c:pt idx="2">
                        <c:v>1737</c:v>
                      </c:pt>
                      <c:pt idx="3">
                        <c:v>1729</c:v>
                      </c:pt>
                      <c:pt idx="4">
                        <c:v>1712</c:v>
                      </c:pt>
                      <c:pt idx="5">
                        <c:v>1697</c:v>
                      </c:pt>
                      <c:pt idx="6">
                        <c:v>1691</c:v>
                      </c:pt>
                      <c:pt idx="7">
                        <c:v>1690</c:v>
                      </c:pt>
                      <c:pt idx="8">
                        <c:v>1701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3F6-4B3B-9DD2-2E89E44F2E7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Лист1!$A$5:$C$5</c15:sqref>
                        </c15:formulaRef>
                      </c:ext>
                    </c:extLst>
                    <c:strCache>
                      <c:ptCount val="3"/>
                      <c:pt idx="0">
                        <c:v>Поголовье на конец месяца</c:v>
                      </c:pt>
                      <c:pt idx="2">
                        <c:v>Голов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Лист1!$D$2:$U$2</c15:sqref>
                        </c15:fullRef>
                        <c15:formulaRef>
                          <c15:sqref>Лист1!$M$2:$U$2</c15:sqref>
                        </c15:formulaRef>
                      </c:ext>
                    </c:extLst>
                    <c:numCache>
                      <c:formatCode>mmm\-yy</c:formatCode>
                      <c:ptCount val="9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Лист1!$D$5:$U$5</c15:sqref>
                        </c15:fullRef>
                        <c15:formulaRef>
                          <c15:sqref>Лист1!$M$5:$U$5</c15:sqref>
                        </c15:formulaRef>
                      </c:ext>
                    </c:extLst>
                    <c:numCache>
                      <c:formatCode>#,##0</c:formatCode>
                      <c:ptCount val="9"/>
                      <c:pt idx="0">
                        <c:v>1759</c:v>
                      </c:pt>
                      <c:pt idx="1">
                        <c:v>1750</c:v>
                      </c:pt>
                      <c:pt idx="2">
                        <c:v>1724</c:v>
                      </c:pt>
                      <c:pt idx="3">
                        <c:v>1733</c:v>
                      </c:pt>
                      <c:pt idx="4">
                        <c:v>1691</c:v>
                      </c:pt>
                      <c:pt idx="5">
                        <c:v>1703</c:v>
                      </c:pt>
                      <c:pt idx="6">
                        <c:v>1678</c:v>
                      </c:pt>
                      <c:pt idx="7">
                        <c:v>1701</c:v>
                      </c:pt>
                      <c:pt idx="8">
                        <c:v>1701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3F6-4B3B-9DD2-2E89E44F2E7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Лист1!$A$6:$C$6</c15:sqref>
                        </c15:formulaRef>
                      </c:ext>
                    </c:extLst>
                    <c:strCache>
                      <c:ptCount val="3"/>
                      <c:pt idx="0">
                        <c:v>        Коровы</c:v>
                      </c:pt>
                      <c:pt idx="2">
                        <c:v>Голов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Лист1!$D$2:$U$2</c15:sqref>
                        </c15:fullRef>
                        <c15:formulaRef>
                          <c15:sqref>Лист1!$M$2:$U$2</c15:sqref>
                        </c15:formulaRef>
                      </c:ext>
                    </c:extLst>
                    <c:numCache>
                      <c:formatCode>mmm\-yy</c:formatCode>
                      <c:ptCount val="9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Лист1!$D$6:$U$6</c15:sqref>
                        </c15:fullRef>
                        <c15:formulaRef>
                          <c15:sqref>Лист1!$M$6:$U$6</c15:sqref>
                        </c15:formulaRef>
                      </c:ext>
                    </c:extLst>
                    <c:numCache>
                      <c:formatCode>0</c:formatCode>
                      <c:ptCount val="9"/>
                      <c:pt idx="0">
                        <c:v>785</c:v>
                      </c:pt>
                      <c:pt idx="1">
                        <c:v>785</c:v>
                      </c:pt>
                      <c:pt idx="2">
                        <c:v>784</c:v>
                      </c:pt>
                      <c:pt idx="3">
                        <c:v>783</c:v>
                      </c:pt>
                      <c:pt idx="4">
                        <c:v>783</c:v>
                      </c:pt>
                      <c:pt idx="5">
                        <c:v>784</c:v>
                      </c:pt>
                      <c:pt idx="6">
                        <c:v>788</c:v>
                      </c:pt>
                      <c:pt idx="7">
                        <c:v>787</c:v>
                      </c:pt>
                      <c:pt idx="8">
                        <c:v>787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3F6-4B3B-9DD2-2E89E44F2E7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Лист1!$A$7:$C$7</c15:sqref>
                        </c15:formulaRef>
                      </c:ext>
                    </c:extLst>
                    <c:strCache>
                      <c:ptCount val="3"/>
                      <c:pt idx="0">
                        <c:v>        Нетели</c:v>
                      </c:pt>
                      <c:pt idx="2">
                        <c:v>Голов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Лист1!$D$2:$U$2</c15:sqref>
                        </c15:fullRef>
                        <c15:formulaRef>
                          <c15:sqref>Лист1!$M$2:$U$2</c15:sqref>
                        </c15:formulaRef>
                      </c:ext>
                    </c:extLst>
                    <c:numCache>
                      <c:formatCode>mmm\-yy</c:formatCode>
                      <c:ptCount val="9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Лист1!$D$7:$U$7</c15:sqref>
                        </c15:fullRef>
                        <c15:formulaRef>
                          <c15:sqref>Лист1!$M$7:$U$7</c15:sqref>
                        </c15:formulaRef>
                      </c:ext>
                    </c:extLst>
                    <c:numCache>
                      <c:formatCode>0</c:formatCode>
                      <c:ptCount val="9"/>
                      <c:pt idx="0">
                        <c:v>24</c:v>
                      </c:pt>
                      <c:pt idx="1">
                        <c:v>12</c:v>
                      </c:pt>
                      <c:pt idx="2">
                        <c:v>23</c:v>
                      </c:pt>
                      <c:pt idx="3">
                        <c:v>17</c:v>
                      </c:pt>
                      <c:pt idx="4">
                        <c:v>2</c:v>
                      </c:pt>
                      <c:pt idx="5">
                        <c:v>20</c:v>
                      </c:pt>
                      <c:pt idx="6">
                        <c:v>19</c:v>
                      </c:pt>
                      <c:pt idx="7">
                        <c:v>29</c:v>
                      </c:pt>
                      <c:pt idx="8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33F6-4B3B-9DD2-2E89E44F2E7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Лист1!$A$8:$C$8</c15:sqref>
                        </c15:formulaRef>
                      </c:ext>
                    </c:extLst>
                    <c:strCache>
                      <c:ptCount val="3"/>
                      <c:pt idx="0">
                        <c:v>        Откорм</c:v>
                      </c:pt>
                      <c:pt idx="2">
                        <c:v>Голов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Лист1!$D$2:$U$2</c15:sqref>
                        </c15:fullRef>
                        <c15:formulaRef>
                          <c15:sqref>Лист1!$M$2:$U$2</c15:sqref>
                        </c15:formulaRef>
                      </c:ext>
                    </c:extLst>
                    <c:numCache>
                      <c:formatCode>mmm\-yy</c:formatCode>
                      <c:ptCount val="9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Лист1!$D$8:$U$8</c15:sqref>
                        </c15:fullRef>
                        <c15:formulaRef>
                          <c15:sqref>Лист1!$M$8:$U$8</c15:sqref>
                        </c15:formulaRef>
                      </c:ext>
                    </c:extLst>
                    <c:numCache>
                      <c:formatCode>0</c:formatCode>
                      <c:ptCount val="9"/>
                      <c:pt idx="0">
                        <c:v>10</c:v>
                      </c:pt>
                      <c:pt idx="1">
                        <c:v>14</c:v>
                      </c:pt>
                      <c:pt idx="2">
                        <c:v>7</c:v>
                      </c:pt>
                      <c:pt idx="3">
                        <c:v>7</c:v>
                      </c:pt>
                      <c:pt idx="4">
                        <c:v>10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14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33F6-4B3B-9DD2-2E89E44F2E7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Лист1!$A$9:$C$9</c15:sqref>
                        </c15:formulaRef>
                      </c:ext>
                    </c:extLst>
                    <c:strCache>
                      <c:ptCount val="3"/>
                      <c:pt idx="0">
                        <c:v>        Телки 2023</c:v>
                      </c:pt>
                      <c:pt idx="2">
                        <c:v>Голов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Лист1!$D$2:$U$2</c15:sqref>
                        </c15:fullRef>
                        <c15:formulaRef>
                          <c15:sqref>Лист1!$M$2:$U$2</c15:sqref>
                        </c15:formulaRef>
                      </c:ext>
                    </c:extLst>
                    <c:numCache>
                      <c:formatCode>mmm\-yy</c:formatCode>
                      <c:ptCount val="9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Лист1!$D$9:$U$9</c15:sqref>
                        </c15:fullRef>
                        <c15:formulaRef>
                          <c15:sqref>Лист1!$M$9:$U$9</c15:sqref>
                        </c15:formulaRef>
                      </c:ext>
                    </c:extLst>
                    <c:numCache>
                      <c:formatCode>0</c:formatCode>
                      <c:ptCount val="9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33F6-4B3B-9DD2-2E89E44F2E7F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Лист1!$A$10:$C$10</c15:sqref>
                        </c15:formulaRef>
                      </c:ext>
                    </c:extLst>
                    <c:strCache>
                      <c:ptCount val="3"/>
                      <c:pt idx="0">
                        <c:v>        Телки 2024</c:v>
                      </c:pt>
                      <c:pt idx="2">
                        <c:v>Голов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Лист1!$D$2:$U$2</c15:sqref>
                        </c15:fullRef>
                        <c15:formulaRef>
                          <c15:sqref>Лист1!$M$2:$U$2</c15:sqref>
                        </c15:formulaRef>
                      </c:ext>
                    </c:extLst>
                    <c:numCache>
                      <c:formatCode>mmm\-yy</c:formatCode>
                      <c:ptCount val="9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Лист1!$D$10:$U$10</c15:sqref>
                        </c15:fullRef>
                        <c15:formulaRef>
                          <c15:sqref>Лист1!$M$10:$U$10</c15:sqref>
                        </c15:formulaRef>
                      </c:ext>
                    </c:extLst>
                    <c:numCache>
                      <c:formatCode>0</c:formatCode>
                      <c:ptCount val="9"/>
                      <c:pt idx="0">
                        <c:v>292</c:v>
                      </c:pt>
                      <c:pt idx="1">
                        <c:v>265</c:v>
                      </c:pt>
                      <c:pt idx="2">
                        <c:v>239</c:v>
                      </c:pt>
                      <c:pt idx="3">
                        <c:v>216</c:v>
                      </c:pt>
                      <c:pt idx="4">
                        <c:v>207</c:v>
                      </c:pt>
                      <c:pt idx="5">
                        <c:v>153</c:v>
                      </c:pt>
                      <c:pt idx="6">
                        <c:v>115</c:v>
                      </c:pt>
                      <c:pt idx="7">
                        <c:v>84</c:v>
                      </c:pt>
                      <c:pt idx="8">
                        <c:v>64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33F6-4B3B-9DD2-2E89E44F2E7F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Лист1!$A$11:$C$11</c15:sqref>
                        </c15:formulaRef>
                      </c:ext>
                    </c:extLst>
                    <c:strCache>
                      <c:ptCount val="3"/>
                      <c:pt idx="0">
                        <c:v>        Телки 2025</c:v>
                      </c:pt>
                      <c:pt idx="2">
                        <c:v>Голов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Лист1!$D$2:$U$2</c15:sqref>
                        </c15:fullRef>
                        <c15:formulaRef>
                          <c15:sqref>Лист1!$M$2:$U$2</c15:sqref>
                        </c15:formulaRef>
                      </c:ext>
                    </c:extLst>
                    <c:numCache>
                      <c:formatCode>mmm\-yy</c:formatCode>
                      <c:ptCount val="9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Лист1!$D$11:$U$11</c15:sqref>
                        </c15:fullRef>
                        <c15:formulaRef>
                          <c15:sqref>Лист1!$M$11:$U$11</c15:sqref>
                        </c15:formulaRef>
                      </c:ext>
                    </c:extLst>
                    <c:numCache>
                      <c:formatCode>0</c:formatCode>
                      <c:ptCount val="9"/>
                      <c:pt idx="0">
                        <c:v>566</c:v>
                      </c:pt>
                      <c:pt idx="1">
                        <c:v>567</c:v>
                      </c:pt>
                      <c:pt idx="2">
                        <c:v>546</c:v>
                      </c:pt>
                      <c:pt idx="3">
                        <c:v>545</c:v>
                      </c:pt>
                      <c:pt idx="4">
                        <c:v>456</c:v>
                      </c:pt>
                      <c:pt idx="5">
                        <c:v>456</c:v>
                      </c:pt>
                      <c:pt idx="6">
                        <c:v>411</c:v>
                      </c:pt>
                      <c:pt idx="7">
                        <c:v>411</c:v>
                      </c:pt>
                      <c:pt idx="8">
                        <c:v>382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33F6-4B3B-9DD2-2E89E44F2E7F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Лист1!$A$12:$C$12</c15:sqref>
                        </c15:formulaRef>
                      </c:ext>
                    </c:extLst>
                    <c:strCache>
                      <c:ptCount val="3"/>
                      <c:pt idx="0">
                        <c:v>        Бычки 2025</c:v>
                      </c:pt>
                      <c:pt idx="2">
                        <c:v>Голов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Лист1!$D$2:$U$2</c15:sqref>
                        </c15:fullRef>
                        <c15:formulaRef>
                          <c15:sqref>Лист1!$M$2:$U$2</c15:sqref>
                        </c15:formulaRef>
                      </c:ext>
                    </c:extLst>
                    <c:numCache>
                      <c:formatCode>mmm\-yy</c:formatCode>
                      <c:ptCount val="9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Лист1!$D$12:$U$12</c15:sqref>
                        </c15:fullRef>
                        <c15:formulaRef>
                          <c15:sqref>Лист1!$M$12:$U$12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 formatCode="0">
                        <c:v>27</c:v>
                      </c:pt>
                      <c:pt idx="1" formatCode="0">
                        <c:v>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33F6-4B3B-9DD2-2E89E44F2E7F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Лист1!$A$13:$C$13</c15:sqref>
                        </c15:formulaRef>
                      </c:ext>
                    </c:extLst>
                    <c:strCache>
                      <c:ptCount val="3"/>
                      <c:pt idx="0">
                        <c:v>        Телки 2026</c:v>
                      </c:pt>
                      <c:pt idx="2">
                        <c:v>Голов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Лист1!$D$2:$U$2</c15:sqref>
                        </c15:fullRef>
                        <c15:formulaRef>
                          <c15:sqref>Лист1!$M$2:$U$2</c15:sqref>
                        </c15:formulaRef>
                      </c:ext>
                    </c:extLst>
                    <c:numCache>
                      <c:formatCode>mmm\-yy</c:formatCode>
                      <c:ptCount val="9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Лист1!$D$13:$U$13</c15:sqref>
                        </c15:fullRef>
                        <c15:formulaRef>
                          <c15:sqref>Лист1!$M$13:$U$13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 formatCode="0">
                        <c:v>19</c:v>
                      </c:pt>
                      <c:pt idx="1" formatCode="0">
                        <c:v>45</c:v>
                      </c:pt>
                      <c:pt idx="2" formatCode="0">
                        <c:v>80</c:v>
                      </c:pt>
                      <c:pt idx="3" formatCode="0">
                        <c:v>144</c:v>
                      </c:pt>
                      <c:pt idx="4" formatCode="0">
                        <c:v>193</c:v>
                      </c:pt>
                      <c:pt idx="5" formatCode="0">
                        <c:v>232</c:v>
                      </c:pt>
                      <c:pt idx="6" formatCode="0">
                        <c:v>298</c:v>
                      </c:pt>
                      <c:pt idx="7" formatCode="0">
                        <c:v>333</c:v>
                      </c:pt>
                      <c:pt idx="8" formatCode="0">
                        <c:v>381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33F6-4B3B-9DD2-2E89E44F2E7F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Лист1!$A$14:$C$14</c15:sqref>
                        </c15:formulaRef>
                      </c:ext>
                    </c:extLst>
                    <c:strCache>
                      <c:ptCount val="3"/>
                      <c:pt idx="0">
                        <c:v>        Бычки 2026</c:v>
                      </c:pt>
                      <c:pt idx="2">
                        <c:v>Голов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Лист1!$D$2:$U$2</c15:sqref>
                        </c15:fullRef>
                        <c15:formulaRef>
                          <c15:sqref>Лист1!$M$2:$U$2</c15:sqref>
                        </c15:formulaRef>
                      </c:ext>
                    </c:extLst>
                    <c:numCache>
                      <c:formatCode>mmm\-yy</c:formatCode>
                      <c:ptCount val="9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Лист1!$D$14:$U$14</c15:sqref>
                        </c15:fullRef>
                        <c15:formulaRef>
                          <c15:sqref>Лист1!$M$14:$U$14</c15:sqref>
                        </c15:formulaRef>
                      </c:ext>
                    </c:extLst>
                    <c:numCache>
                      <c:formatCode>0.0</c:formatCode>
                      <c:ptCount val="9"/>
                      <c:pt idx="0" formatCode="0">
                        <c:v>36</c:v>
                      </c:pt>
                      <c:pt idx="1" formatCode="0">
                        <c:v>57</c:v>
                      </c:pt>
                      <c:pt idx="2" formatCode="0">
                        <c:v>45</c:v>
                      </c:pt>
                      <c:pt idx="3" formatCode="0">
                        <c:v>21</c:v>
                      </c:pt>
                      <c:pt idx="4" formatCode="0">
                        <c:v>40</c:v>
                      </c:pt>
                      <c:pt idx="5" formatCode="0">
                        <c:v>55</c:v>
                      </c:pt>
                      <c:pt idx="6" formatCode="0">
                        <c:v>44</c:v>
                      </c:pt>
                      <c:pt idx="7" formatCode="0">
                        <c:v>54</c:v>
                      </c:pt>
                      <c:pt idx="8" formatCode="0">
                        <c:v>71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B-33F6-4B3B-9DD2-2E89E44F2E7F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Лист1!$A$16:$C$16</c15:sqref>
                        </c15:formulaRef>
                      </c:ext>
                    </c:extLst>
                    <c:strCache>
                      <c:ptCount val="3"/>
                      <c:pt idx="0">
                        <c:v>Удой на среднюю корову</c:v>
                      </c:pt>
                      <c:pt idx="2">
                        <c:v>Кг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Лист1!$D$2:$U$2</c15:sqref>
                        </c15:fullRef>
                        <c15:formulaRef>
                          <c15:sqref>Лист1!$M$2:$U$2</c15:sqref>
                        </c15:formulaRef>
                      </c:ext>
                    </c:extLst>
                    <c:numCache>
                      <c:formatCode>mmm\-yy</c:formatCode>
                      <c:ptCount val="9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Лист1!$D$16:$U$16</c15:sqref>
                        </c15:fullRef>
                        <c15:formulaRef>
                          <c15:sqref>Лист1!$M$16:$U$16</c15:sqref>
                        </c15:formulaRef>
                      </c:ext>
                    </c:extLst>
                    <c:numCache>
                      <c:formatCode>0</c:formatCode>
                      <c:ptCount val="9"/>
                      <c:pt idx="0">
                        <c:v>793</c:v>
                      </c:pt>
                      <c:pt idx="1">
                        <c:v>715</c:v>
                      </c:pt>
                      <c:pt idx="2">
                        <c:v>789</c:v>
                      </c:pt>
                      <c:pt idx="3">
                        <c:v>764</c:v>
                      </c:pt>
                      <c:pt idx="4">
                        <c:v>797</c:v>
                      </c:pt>
                      <c:pt idx="5">
                        <c:v>770</c:v>
                      </c:pt>
                      <c:pt idx="6">
                        <c:v>775</c:v>
                      </c:pt>
                      <c:pt idx="7">
                        <c:v>740</c:v>
                      </c:pt>
                      <c:pt idx="8">
                        <c:v>713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D-33F6-4B3B-9DD2-2E89E44F2E7F}"/>
                  </c:ext>
                </c:extLst>
              </c15:ser>
            </c15:filteredLineSeries>
          </c:ext>
        </c:extLst>
      </c:lineChart>
      <c:dateAx>
        <c:axId val="57892935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8929712"/>
        <c:crosses val="autoZero"/>
        <c:auto val="1"/>
        <c:lblOffset val="100"/>
        <c:baseTimeUnit val="months"/>
      </c:dateAx>
      <c:valAx>
        <c:axId val="57892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8929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Лист1!$A$4:$C$4</c:f>
              <c:strCache>
                <c:ptCount val="3"/>
                <c:pt idx="0">
                  <c:v>        Коровы</c:v>
                </c:pt>
                <c:pt idx="2">
                  <c:v>Голов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Лист1!$D$2:$U$2</c:f>
              <c:numCache>
                <c:formatCode>mmm\-yy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  <c:pt idx="12">
                  <c:v>46113</c:v>
                </c:pt>
                <c:pt idx="13">
                  <c:v>46143</c:v>
                </c:pt>
                <c:pt idx="14">
                  <c:v>46174</c:v>
                </c:pt>
                <c:pt idx="15">
                  <c:v>46204</c:v>
                </c:pt>
                <c:pt idx="16">
                  <c:v>46235</c:v>
                </c:pt>
                <c:pt idx="17">
                  <c:v>46266</c:v>
                </c:pt>
              </c:numCache>
            </c:numRef>
          </c:cat>
          <c:val>
            <c:numRef>
              <c:f>Лист1!$D$4:$U$4</c:f>
              <c:numCache>
                <c:formatCode>0</c:formatCode>
                <c:ptCount val="18"/>
                <c:pt idx="0">
                  <c:v>707</c:v>
                </c:pt>
                <c:pt idx="1">
                  <c:v>705</c:v>
                </c:pt>
                <c:pt idx="2">
                  <c:v>707</c:v>
                </c:pt>
                <c:pt idx="3">
                  <c:v>706</c:v>
                </c:pt>
                <c:pt idx="4">
                  <c:v>706</c:v>
                </c:pt>
                <c:pt idx="5">
                  <c:v>711</c:v>
                </c:pt>
                <c:pt idx="6">
                  <c:v>712</c:v>
                </c:pt>
                <c:pt idx="7">
                  <c:v>748</c:v>
                </c:pt>
                <c:pt idx="8">
                  <c:v>790</c:v>
                </c:pt>
                <c:pt idx="9">
                  <c:v>783</c:v>
                </c:pt>
                <c:pt idx="10">
                  <c:v>785</c:v>
                </c:pt>
                <c:pt idx="11">
                  <c:v>785</c:v>
                </c:pt>
                <c:pt idx="12">
                  <c:v>784</c:v>
                </c:pt>
                <c:pt idx="13">
                  <c:v>783</c:v>
                </c:pt>
                <c:pt idx="14">
                  <c:v>784</c:v>
                </c:pt>
                <c:pt idx="15">
                  <c:v>786</c:v>
                </c:pt>
                <c:pt idx="16">
                  <c:v>788</c:v>
                </c:pt>
                <c:pt idx="17">
                  <c:v>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EB-44E6-BCEF-33E58DEF9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1062144"/>
        <c:axId val="521065384"/>
      </c:barChart>
      <c:lineChart>
        <c:grouping val="standard"/>
        <c:varyColors val="0"/>
        <c:ser>
          <c:idx val="1"/>
          <c:order val="1"/>
          <c:tx>
            <c:strRef>
              <c:f>Лист1!$A$16:$C$16</c:f>
              <c:strCache>
                <c:ptCount val="3"/>
                <c:pt idx="0">
                  <c:v>Удой на среднюю корову</c:v>
                </c:pt>
                <c:pt idx="2">
                  <c:v>Кг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Лист1!$D$2:$U$2</c:f>
              <c:numCache>
                <c:formatCode>mmm\-yy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  <c:pt idx="12">
                  <c:v>46113</c:v>
                </c:pt>
                <c:pt idx="13">
                  <c:v>46143</c:v>
                </c:pt>
                <c:pt idx="14">
                  <c:v>46174</c:v>
                </c:pt>
                <c:pt idx="15">
                  <c:v>46204</c:v>
                </c:pt>
                <c:pt idx="16">
                  <c:v>46235</c:v>
                </c:pt>
                <c:pt idx="17">
                  <c:v>46266</c:v>
                </c:pt>
              </c:numCache>
            </c:numRef>
          </c:cat>
          <c:val>
            <c:numRef>
              <c:f>Лист1!$D$16:$U$16</c:f>
              <c:numCache>
                <c:formatCode>0</c:formatCode>
                <c:ptCount val="18"/>
                <c:pt idx="0">
                  <c:v>783</c:v>
                </c:pt>
                <c:pt idx="1">
                  <c:v>717</c:v>
                </c:pt>
                <c:pt idx="2">
                  <c:v>800</c:v>
                </c:pt>
                <c:pt idx="3">
                  <c:v>778</c:v>
                </c:pt>
                <c:pt idx="4">
                  <c:v>806</c:v>
                </c:pt>
                <c:pt idx="5">
                  <c:v>774</c:v>
                </c:pt>
                <c:pt idx="6">
                  <c:v>788</c:v>
                </c:pt>
                <c:pt idx="7">
                  <c:v>771</c:v>
                </c:pt>
                <c:pt idx="8">
                  <c:v>715</c:v>
                </c:pt>
                <c:pt idx="9">
                  <c:v>793</c:v>
                </c:pt>
                <c:pt idx="10">
                  <c:v>715</c:v>
                </c:pt>
                <c:pt idx="11">
                  <c:v>789</c:v>
                </c:pt>
                <c:pt idx="12">
                  <c:v>764</c:v>
                </c:pt>
                <c:pt idx="13">
                  <c:v>797</c:v>
                </c:pt>
                <c:pt idx="14">
                  <c:v>770</c:v>
                </c:pt>
                <c:pt idx="15">
                  <c:v>775</c:v>
                </c:pt>
                <c:pt idx="16">
                  <c:v>740</c:v>
                </c:pt>
                <c:pt idx="17">
                  <c:v>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EB-44E6-BCEF-33E58DEF9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1062144"/>
        <c:axId val="521065384"/>
      </c:lineChart>
      <c:dateAx>
        <c:axId val="5210621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1065384"/>
        <c:crosses val="autoZero"/>
        <c:auto val="1"/>
        <c:lblOffset val="100"/>
        <c:baseTimeUnit val="months"/>
      </c:dateAx>
      <c:valAx>
        <c:axId val="521065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106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594360</xdr:colOff>
      <xdr:row>9</xdr:row>
      <xdr:rowOff>121920</xdr:rowOff>
    </xdr:from>
    <xdr:to>
      <xdr:col>51</xdr:col>
      <xdr:colOff>198120</xdr:colOff>
      <xdr:row>33</xdr:row>
      <xdr:rowOff>160020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8C0BB097-5660-AA93-0417-EE2DB21DEA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80010</xdr:colOff>
      <xdr:row>36</xdr:row>
      <xdr:rowOff>53340</xdr:rowOff>
    </xdr:from>
    <xdr:to>
      <xdr:col>46</xdr:col>
      <xdr:colOff>415290</xdr:colOff>
      <xdr:row>51</xdr:row>
      <xdr:rowOff>133350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7E47FFDA-CAEA-272E-E117-120042F816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598D3-A6CA-4D47-8542-5558B45DA28E}">
  <dimension ref="A1:U48"/>
  <sheetViews>
    <sheetView tabSelected="1" topLeftCell="A28" zoomScale="85" zoomScaleNormal="85" workbookViewId="0">
      <selection activeCell="H51" sqref="H51"/>
    </sheetView>
  </sheetViews>
  <sheetFormatPr defaultRowHeight="14.4" x14ac:dyDescent="0.3"/>
  <cols>
    <col min="1" max="1" width="33.5546875" customWidth="1"/>
    <col min="2" max="2" width="11.77734375" customWidth="1"/>
    <col min="3" max="3" width="8.88671875" style="30"/>
    <col min="4" max="12" width="8.88671875" style="26"/>
  </cols>
  <sheetData>
    <row r="1" spans="1:21" ht="30.6" customHeight="1" x14ac:dyDescent="0.3">
      <c r="A1" s="27" t="s">
        <v>48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</row>
    <row r="2" spans="1:21" x14ac:dyDescent="0.3">
      <c r="A2" s="1" t="s">
        <v>0</v>
      </c>
      <c r="B2" s="1"/>
      <c r="C2" s="19" t="s">
        <v>1</v>
      </c>
      <c r="D2" s="20">
        <v>45658</v>
      </c>
      <c r="E2" s="20">
        <v>45689</v>
      </c>
      <c r="F2" s="20">
        <v>45717</v>
      </c>
      <c r="G2" s="20">
        <v>45748</v>
      </c>
      <c r="H2" s="20">
        <v>45778</v>
      </c>
      <c r="I2" s="20">
        <v>45809</v>
      </c>
      <c r="J2" s="20">
        <v>45839</v>
      </c>
      <c r="K2" s="20">
        <v>45870</v>
      </c>
      <c r="L2" s="20">
        <v>45901</v>
      </c>
      <c r="M2" s="18">
        <v>46023</v>
      </c>
      <c r="N2" s="18">
        <v>46054</v>
      </c>
      <c r="O2" s="18">
        <v>46082</v>
      </c>
      <c r="P2" s="18">
        <v>46113</v>
      </c>
      <c r="Q2" s="18">
        <v>46143</v>
      </c>
      <c r="R2" s="18">
        <v>46174</v>
      </c>
      <c r="S2" s="18">
        <v>46204</v>
      </c>
      <c r="T2" s="18">
        <v>46235</v>
      </c>
      <c r="U2" s="18">
        <v>46266</v>
      </c>
    </row>
    <row r="3" spans="1:21" x14ac:dyDescent="0.3">
      <c r="A3" s="3" t="s">
        <v>2</v>
      </c>
      <c r="B3" s="3"/>
      <c r="C3" s="19" t="s">
        <v>3</v>
      </c>
      <c r="D3" s="21">
        <v>1573</v>
      </c>
      <c r="E3" s="21">
        <v>1610</v>
      </c>
      <c r="F3" s="4">
        <v>1628</v>
      </c>
      <c r="G3" s="4">
        <v>1632</v>
      </c>
      <c r="H3" s="4">
        <v>1635</v>
      </c>
      <c r="I3" s="4">
        <v>1645</v>
      </c>
      <c r="J3" s="4">
        <v>1667</v>
      </c>
      <c r="K3" s="4">
        <v>1720</v>
      </c>
      <c r="L3" s="4">
        <v>1765</v>
      </c>
      <c r="M3" s="4">
        <v>1756</v>
      </c>
      <c r="N3" s="4">
        <v>1755</v>
      </c>
      <c r="O3" s="4">
        <v>1737</v>
      </c>
      <c r="P3" s="4">
        <v>1729</v>
      </c>
      <c r="Q3" s="4">
        <v>1712</v>
      </c>
      <c r="R3" s="4">
        <v>1697</v>
      </c>
      <c r="S3" s="4">
        <v>1691</v>
      </c>
      <c r="T3" s="4">
        <v>1690</v>
      </c>
      <c r="U3" s="4">
        <v>1701</v>
      </c>
    </row>
    <row r="4" spans="1:21" x14ac:dyDescent="0.3">
      <c r="A4" s="3" t="s">
        <v>4</v>
      </c>
      <c r="B4" s="3"/>
      <c r="C4" s="19" t="s">
        <v>3</v>
      </c>
      <c r="D4" s="22">
        <v>707</v>
      </c>
      <c r="E4" s="22">
        <v>705</v>
      </c>
      <c r="F4" s="5">
        <v>707</v>
      </c>
      <c r="G4" s="5">
        <v>706</v>
      </c>
      <c r="H4" s="5">
        <v>706</v>
      </c>
      <c r="I4" s="5">
        <v>711</v>
      </c>
      <c r="J4" s="5">
        <v>712</v>
      </c>
      <c r="K4" s="5">
        <v>748</v>
      </c>
      <c r="L4" s="5">
        <v>790</v>
      </c>
      <c r="M4" s="5">
        <v>783</v>
      </c>
      <c r="N4" s="5">
        <v>785</v>
      </c>
      <c r="O4" s="5">
        <v>785</v>
      </c>
      <c r="P4" s="5">
        <v>784</v>
      </c>
      <c r="Q4" s="5">
        <v>783</v>
      </c>
      <c r="R4" s="5">
        <v>784</v>
      </c>
      <c r="S4" s="5">
        <v>786</v>
      </c>
      <c r="T4" s="5">
        <v>788</v>
      </c>
      <c r="U4" s="5">
        <v>787</v>
      </c>
    </row>
    <row r="5" spans="1:21" x14ac:dyDescent="0.3">
      <c r="A5" s="3" t="s">
        <v>5</v>
      </c>
      <c r="B5" s="3"/>
      <c r="C5" s="19" t="s">
        <v>3</v>
      </c>
      <c r="D5" s="21">
        <v>1592</v>
      </c>
      <c r="E5" s="21">
        <v>1627</v>
      </c>
      <c r="F5" s="4">
        <v>1629</v>
      </c>
      <c r="G5" s="4">
        <v>1635</v>
      </c>
      <c r="H5" s="4">
        <v>1634</v>
      </c>
      <c r="I5" s="4">
        <v>1655</v>
      </c>
      <c r="J5" s="4">
        <v>1679</v>
      </c>
      <c r="K5" s="4">
        <v>1760</v>
      </c>
      <c r="L5" s="4">
        <v>1769</v>
      </c>
      <c r="M5" s="4">
        <v>1759</v>
      </c>
      <c r="N5" s="4">
        <v>1750</v>
      </c>
      <c r="O5" s="4">
        <v>1724</v>
      </c>
      <c r="P5" s="4">
        <v>1733</v>
      </c>
      <c r="Q5" s="4">
        <v>1691</v>
      </c>
      <c r="R5" s="4">
        <v>1703</v>
      </c>
      <c r="S5" s="4">
        <v>1678</v>
      </c>
      <c r="T5" s="4">
        <v>1701</v>
      </c>
      <c r="U5" s="4">
        <v>1701</v>
      </c>
    </row>
    <row r="6" spans="1:21" x14ac:dyDescent="0.3">
      <c r="A6" s="3" t="s">
        <v>4</v>
      </c>
      <c r="B6" s="3"/>
      <c r="C6" s="19" t="s">
        <v>3</v>
      </c>
      <c r="D6" s="22">
        <v>705</v>
      </c>
      <c r="E6" s="22">
        <v>705</v>
      </c>
      <c r="F6" s="5">
        <v>708</v>
      </c>
      <c r="G6" s="5">
        <v>703</v>
      </c>
      <c r="H6" s="5">
        <v>708</v>
      </c>
      <c r="I6" s="5">
        <v>713</v>
      </c>
      <c r="J6" s="5">
        <v>711</v>
      </c>
      <c r="K6" s="5">
        <v>785</v>
      </c>
      <c r="L6" s="5">
        <v>795</v>
      </c>
      <c r="M6" s="5">
        <v>785</v>
      </c>
      <c r="N6" s="5">
        <v>785</v>
      </c>
      <c r="O6" s="5">
        <v>784</v>
      </c>
      <c r="P6" s="5">
        <v>783</v>
      </c>
      <c r="Q6" s="5">
        <v>783</v>
      </c>
      <c r="R6" s="5">
        <v>784</v>
      </c>
      <c r="S6" s="5">
        <v>788</v>
      </c>
      <c r="T6" s="5">
        <v>787</v>
      </c>
      <c r="U6" s="5">
        <v>787</v>
      </c>
    </row>
    <row r="7" spans="1:21" x14ac:dyDescent="0.3">
      <c r="A7" s="3" t="s">
        <v>6</v>
      </c>
      <c r="B7" s="3"/>
      <c r="C7" s="19" t="s">
        <v>3</v>
      </c>
      <c r="D7" s="22">
        <v>22</v>
      </c>
      <c r="E7" s="22">
        <v>6</v>
      </c>
      <c r="F7" s="5">
        <v>11</v>
      </c>
      <c r="G7" s="5">
        <v>2</v>
      </c>
      <c r="H7" s="5">
        <v>15</v>
      </c>
      <c r="I7" s="5">
        <v>19</v>
      </c>
      <c r="J7" s="5">
        <v>3</v>
      </c>
      <c r="K7" s="5">
        <v>15</v>
      </c>
      <c r="L7" s="5">
        <v>1</v>
      </c>
      <c r="M7" s="5">
        <v>24</v>
      </c>
      <c r="N7" s="5">
        <v>12</v>
      </c>
      <c r="O7" s="5">
        <v>23</v>
      </c>
      <c r="P7" s="5">
        <v>17</v>
      </c>
      <c r="Q7" s="5">
        <v>2</v>
      </c>
      <c r="R7" s="5">
        <v>20</v>
      </c>
      <c r="S7" s="5">
        <v>19</v>
      </c>
      <c r="T7" s="5">
        <v>29</v>
      </c>
      <c r="U7" s="5">
        <v>2</v>
      </c>
    </row>
    <row r="8" spans="1:21" x14ac:dyDescent="0.3">
      <c r="A8" s="3" t="s">
        <v>7</v>
      </c>
      <c r="B8" s="3"/>
      <c r="C8" s="19" t="s">
        <v>3</v>
      </c>
      <c r="D8" s="22">
        <v>4</v>
      </c>
      <c r="E8" s="22">
        <v>3</v>
      </c>
      <c r="F8" s="7"/>
      <c r="G8" s="7"/>
      <c r="H8" s="7"/>
      <c r="I8" s="7"/>
      <c r="J8" s="5">
        <v>1</v>
      </c>
      <c r="K8" s="7"/>
      <c r="L8" s="5">
        <v>9</v>
      </c>
      <c r="M8" s="5">
        <v>10</v>
      </c>
      <c r="N8" s="5">
        <v>14</v>
      </c>
      <c r="O8" s="5">
        <v>7</v>
      </c>
      <c r="P8" s="5">
        <v>7</v>
      </c>
      <c r="Q8" s="5">
        <v>10</v>
      </c>
      <c r="R8" s="5">
        <v>3</v>
      </c>
      <c r="S8" s="5">
        <v>3</v>
      </c>
      <c r="T8" s="5">
        <v>3</v>
      </c>
      <c r="U8" s="5">
        <v>14</v>
      </c>
    </row>
    <row r="9" spans="1:21" x14ac:dyDescent="0.3">
      <c r="A9" s="3" t="s">
        <v>8</v>
      </c>
      <c r="B9" s="3"/>
      <c r="C9" s="19" t="s">
        <v>3</v>
      </c>
      <c r="D9" s="22">
        <v>349</v>
      </c>
      <c r="E9" s="22">
        <v>346</v>
      </c>
      <c r="F9" s="5">
        <v>311</v>
      </c>
      <c r="G9" s="5">
        <v>297</v>
      </c>
      <c r="H9" s="5">
        <v>258</v>
      </c>
      <c r="I9" s="5">
        <v>222</v>
      </c>
      <c r="J9" s="5">
        <v>196</v>
      </c>
      <c r="K9" s="5">
        <v>158</v>
      </c>
      <c r="L9" s="5">
        <v>110</v>
      </c>
      <c r="M9" s="7"/>
      <c r="N9" s="7"/>
      <c r="O9" s="7"/>
      <c r="P9" s="7"/>
      <c r="Q9" s="7"/>
      <c r="R9" s="7"/>
      <c r="S9" s="7"/>
      <c r="T9" s="7"/>
      <c r="U9" s="7"/>
    </row>
    <row r="10" spans="1:21" x14ac:dyDescent="0.3">
      <c r="A10" s="3" t="s">
        <v>9</v>
      </c>
      <c r="B10" s="3"/>
      <c r="C10" s="19" t="s">
        <v>3</v>
      </c>
      <c r="D10" s="22">
        <v>430</v>
      </c>
      <c r="E10" s="22">
        <v>446</v>
      </c>
      <c r="F10" s="5">
        <v>452</v>
      </c>
      <c r="G10" s="5">
        <v>437</v>
      </c>
      <c r="H10" s="5">
        <v>436</v>
      </c>
      <c r="I10" s="5">
        <v>410</v>
      </c>
      <c r="J10" s="5">
        <v>408</v>
      </c>
      <c r="K10" s="5">
        <v>383</v>
      </c>
      <c r="L10" s="5">
        <v>366</v>
      </c>
      <c r="M10" s="5">
        <v>292</v>
      </c>
      <c r="N10" s="5">
        <v>265</v>
      </c>
      <c r="O10" s="5">
        <v>239</v>
      </c>
      <c r="P10" s="5">
        <v>216</v>
      </c>
      <c r="Q10" s="5">
        <v>207</v>
      </c>
      <c r="R10" s="5">
        <v>153</v>
      </c>
      <c r="S10" s="5">
        <v>115</v>
      </c>
      <c r="T10" s="5">
        <v>84</v>
      </c>
      <c r="U10" s="5">
        <v>64</v>
      </c>
    </row>
    <row r="11" spans="1:21" x14ac:dyDescent="0.3">
      <c r="A11" s="3" t="s">
        <v>10</v>
      </c>
      <c r="B11" s="3"/>
      <c r="C11" s="19" t="s">
        <v>3</v>
      </c>
      <c r="D11" s="22">
        <v>47</v>
      </c>
      <c r="E11" s="22">
        <v>68</v>
      </c>
      <c r="F11" s="5">
        <v>104</v>
      </c>
      <c r="G11" s="5">
        <v>165</v>
      </c>
      <c r="H11" s="5">
        <v>186</v>
      </c>
      <c r="I11" s="5">
        <v>253</v>
      </c>
      <c r="J11" s="5">
        <v>303</v>
      </c>
      <c r="K11" s="5">
        <v>369</v>
      </c>
      <c r="L11" s="5">
        <v>423</v>
      </c>
      <c r="M11" s="5">
        <v>566</v>
      </c>
      <c r="N11" s="5">
        <v>567</v>
      </c>
      <c r="O11" s="5">
        <v>546</v>
      </c>
      <c r="P11" s="5">
        <v>545</v>
      </c>
      <c r="Q11" s="5">
        <v>456</v>
      </c>
      <c r="R11" s="5">
        <v>456</v>
      </c>
      <c r="S11" s="5">
        <v>411</v>
      </c>
      <c r="T11" s="5">
        <v>411</v>
      </c>
      <c r="U11" s="5">
        <v>382</v>
      </c>
    </row>
    <row r="12" spans="1:21" x14ac:dyDescent="0.3">
      <c r="A12" s="3" t="s">
        <v>11</v>
      </c>
      <c r="B12" s="3"/>
      <c r="C12" s="19" t="s">
        <v>3</v>
      </c>
      <c r="D12" s="22">
        <v>34</v>
      </c>
      <c r="E12" s="23">
        <v>53</v>
      </c>
      <c r="F12" s="5">
        <v>43</v>
      </c>
      <c r="G12" s="5">
        <v>31</v>
      </c>
      <c r="H12" s="5">
        <v>31</v>
      </c>
      <c r="I12" s="5">
        <v>38</v>
      </c>
      <c r="J12" s="5">
        <v>57</v>
      </c>
      <c r="K12" s="5">
        <v>50</v>
      </c>
      <c r="L12" s="5">
        <v>65</v>
      </c>
      <c r="M12" s="5">
        <v>27</v>
      </c>
      <c r="N12" s="5">
        <v>5</v>
      </c>
      <c r="O12" s="7"/>
      <c r="P12" s="7"/>
      <c r="Q12" s="7"/>
      <c r="R12" s="7"/>
      <c r="S12" s="7"/>
      <c r="T12" s="7"/>
      <c r="U12" s="7"/>
    </row>
    <row r="13" spans="1:21" x14ac:dyDescent="0.3">
      <c r="A13" s="3" t="s">
        <v>12</v>
      </c>
      <c r="B13" s="3"/>
      <c r="C13" s="19" t="s">
        <v>3</v>
      </c>
      <c r="D13" s="23"/>
      <c r="E13" s="23"/>
      <c r="F13" s="7"/>
      <c r="G13" s="7"/>
      <c r="H13" s="7"/>
      <c r="I13" s="7"/>
      <c r="J13" s="7"/>
      <c r="K13" s="7"/>
      <c r="L13" s="7"/>
      <c r="M13" s="5">
        <v>19</v>
      </c>
      <c r="N13" s="5">
        <v>45</v>
      </c>
      <c r="O13" s="5">
        <v>80</v>
      </c>
      <c r="P13" s="5">
        <v>144</v>
      </c>
      <c r="Q13" s="5">
        <v>193</v>
      </c>
      <c r="R13" s="5">
        <v>232</v>
      </c>
      <c r="S13" s="5">
        <v>298</v>
      </c>
      <c r="T13" s="5">
        <v>333</v>
      </c>
      <c r="U13" s="5">
        <v>381</v>
      </c>
    </row>
    <row r="14" spans="1:21" x14ac:dyDescent="0.3">
      <c r="A14" s="3" t="s">
        <v>13</v>
      </c>
      <c r="B14" s="3"/>
      <c r="C14" s="19" t="s">
        <v>3</v>
      </c>
      <c r="D14" s="23"/>
      <c r="E14" s="24"/>
      <c r="F14" s="7"/>
      <c r="G14" s="7"/>
      <c r="H14" s="7"/>
      <c r="I14" s="7"/>
      <c r="J14" s="7"/>
      <c r="K14" s="7"/>
      <c r="L14" s="7"/>
      <c r="M14" s="5">
        <v>36</v>
      </c>
      <c r="N14" s="5">
        <v>57</v>
      </c>
      <c r="O14" s="5">
        <v>45</v>
      </c>
      <c r="P14" s="5">
        <v>21</v>
      </c>
      <c r="Q14" s="5">
        <v>40</v>
      </c>
      <c r="R14" s="5">
        <v>55</v>
      </c>
      <c r="S14" s="5">
        <v>44</v>
      </c>
      <c r="T14" s="5">
        <v>54</v>
      </c>
      <c r="U14" s="5">
        <v>71</v>
      </c>
    </row>
    <row r="15" spans="1:21" x14ac:dyDescent="0.3">
      <c r="A15" s="3" t="s">
        <v>14</v>
      </c>
      <c r="B15" s="3"/>
      <c r="C15" s="19" t="s">
        <v>15</v>
      </c>
      <c r="D15" s="24">
        <v>553.79999999999995</v>
      </c>
      <c r="E15" s="24">
        <v>505.3</v>
      </c>
      <c r="F15" s="8">
        <v>565.6</v>
      </c>
      <c r="G15" s="8">
        <v>549.5</v>
      </c>
      <c r="H15" s="8">
        <v>569.1</v>
      </c>
      <c r="I15" s="8">
        <v>550.20000000000005</v>
      </c>
      <c r="J15" s="8">
        <v>560.79999999999995</v>
      </c>
      <c r="K15" s="8">
        <v>576.79999999999995</v>
      </c>
      <c r="L15" s="8">
        <v>564.9</v>
      </c>
      <c r="M15" s="8">
        <v>620.70000000000005</v>
      </c>
      <c r="N15" s="8">
        <v>561.4</v>
      </c>
      <c r="O15" s="8">
        <v>619.20000000000005</v>
      </c>
      <c r="P15" s="8">
        <v>599.1</v>
      </c>
      <c r="Q15" s="8">
        <v>624.4</v>
      </c>
      <c r="R15" s="8">
        <v>604</v>
      </c>
      <c r="S15" s="8">
        <v>609.20000000000005</v>
      </c>
      <c r="T15" s="8">
        <v>583</v>
      </c>
      <c r="U15" s="8">
        <v>561.1</v>
      </c>
    </row>
    <row r="16" spans="1:21" x14ac:dyDescent="0.3">
      <c r="A16" s="3" t="s">
        <v>16</v>
      </c>
      <c r="B16" s="3"/>
      <c r="C16" s="19" t="s">
        <v>17</v>
      </c>
      <c r="D16" s="22">
        <v>783</v>
      </c>
      <c r="E16" s="22">
        <v>717</v>
      </c>
      <c r="F16" s="5">
        <v>800</v>
      </c>
      <c r="G16" s="5">
        <v>778</v>
      </c>
      <c r="H16" s="5">
        <v>806</v>
      </c>
      <c r="I16" s="5">
        <v>774</v>
      </c>
      <c r="J16" s="5">
        <v>788</v>
      </c>
      <c r="K16" s="5">
        <v>771</v>
      </c>
      <c r="L16" s="5">
        <v>715</v>
      </c>
      <c r="M16" s="5">
        <v>793</v>
      </c>
      <c r="N16" s="5">
        <v>715</v>
      </c>
      <c r="O16" s="5">
        <v>789</v>
      </c>
      <c r="P16" s="5">
        <v>764</v>
      </c>
      <c r="Q16" s="5">
        <v>797</v>
      </c>
      <c r="R16" s="5">
        <v>770</v>
      </c>
      <c r="S16" s="5">
        <v>775</v>
      </c>
      <c r="T16" s="5">
        <v>740</v>
      </c>
      <c r="U16" s="5">
        <v>713</v>
      </c>
    </row>
    <row r="17" spans="1:21" ht="14.4" customHeight="1" x14ac:dyDescent="0.3">
      <c r="A17" s="28" t="s">
        <v>49</v>
      </c>
      <c r="B17" s="9"/>
      <c r="C17" s="19" t="s">
        <v>15</v>
      </c>
      <c r="D17" s="24">
        <v>461.6</v>
      </c>
      <c r="E17" s="24">
        <v>430.4</v>
      </c>
      <c r="F17" s="10">
        <v>509.1</v>
      </c>
      <c r="G17" s="10">
        <v>500.5</v>
      </c>
      <c r="H17" s="10">
        <v>510.8</v>
      </c>
      <c r="I17" s="10">
        <v>465</v>
      </c>
      <c r="J17" s="10">
        <v>473.9</v>
      </c>
      <c r="K17" s="10">
        <v>505.2</v>
      </c>
      <c r="L17" s="10">
        <v>509.7</v>
      </c>
      <c r="M17" s="8">
        <v>572.5</v>
      </c>
      <c r="N17" s="8">
        <v>514.4</v>
      </c>
      <c r="O17" s="10">
        <v>562.70000000000005</v>
      </c>
      <c r="P17" s="10">
        <v>555.9</v>
      </c>
      <c r="Q17" s="10">
        <v>576.70000000000005</v>
      </c>
      <c r="R17" s="10">
        <v>558.5</v>
      </c>
      <c r="S17" s="10">
        <v>550.4</v>
      </c>
      <c r="T17" s="10">
        <v>509.2</v>
      </c>
      <c r="U17" s="10">
        <v>513.6</v>
      </c>
    </row>
    <row r="18" spans="1:21" ht="22.8" x14ac:dyDescent="0.3">
      <c r="A18" s="29" t="s">
        <v>50</v>
      </c>
      <c r="B18" s="11"/>
      <c r="C18" s="19" t="s">
        <v>15</v>
      </c>
      <c r="D18" s="24">
        <v>430.7</v>
      </c>
      <c r="E18" s="24">
        <v>412</v>
      </c>
      <c r="F18" s="12">
        <v>484.9</v>
      </c>
      <c r="G18" s="12">
        <v>456.8</v>
      </c>
      <c r="H18" s="12">
        <v>458.4</v>
      </c>
      <c r="I18" s="12">
        <v>399.7</v>
      </c>
      <c r="J18" s="12">
        <v>430.3</v>
      </c>
      <c r="K18" s="12">
        <v>465.1</v>
      </c>
      <c r="L18" s="12">
        <v>487.5</v>
      </c>
      <c r="M18" s="8">
        <v>503.6</v>
      </c>
      <c r="N18" s="8">
        <v>471.4</v>
      </c>
      <c r="O18" s="12">
        <v>516.20000000000005</v>
      </c>
      <c r="P18" s="12">
        <v>520</v>
      </c>
      <c r="Q18" s="12">
        <v>547.6</v>
      </c>
      <c r="R18" s="12">
        <v>523.9</v>
      </c>
      <c r="S18" s="12">
        <v>499.9</v>
      </c>
      <c r="T18" s="12">
        <v>462.8</v>
      </c>
      <c r="U18" s="12">
        <v>466.7</v>
      </c>
    </row>
    <row r="19" spans="1:21" x14ac:dyDescent="0.3">
      <c r="A19" s="3" t="s">
        <v>18</v>
      </c>
      <c r="B19" s="3"/>
      <c r="C19" s="19" t="s">
        <v>19</v>
      </c>
      <c r="D19" s="24">
        <v>83.4</v>
      </c>
      <c r="E19" s="24">
        <v>85.2</v>
      </c>
      <c r="F19" s="8">
        <v>90</v>
      </c>
      <c r="G19" s="8">
        <v>91.1</v>
      </c>
      <c r="H19" s="8">
        <v>89.7</v>
      </c>
      <c r="I19" s="8">
        <v>84.5</v>
      </c>
      <c r="J19" s="8">
        <v>84.5</v>
      </c>
      <c r="K19" s="8">
        <v>87.6</v>
      </c>
      <c r="L19" s="8">
        <v>90.2</v>
      </c>
      <c r="M19" s="8">
        <v>92.2</v>
      </c>
      <c r="N19" s="8">
        <v>91.6</v>
      </c>
      <c r="O19" s="8">
        <v>90.9</v>
      </c>
      <c r="P19" s="8">
        <v>92.8</v>
      </c>
      <c r="Q19" s="8">
        <v>92.4</v>
      </c>
      <c r="R19" s="8">
        <v>92.5</v>
      </c>
      <c r="S19" s="8">
        <v>90.4</v>
      </c>
      <c r="T19" s="8">
        <v>87.3</v>
      </c>
      <c r="U19" s="8">
        <v>91.6</v>
      </c>
    </row>
    <row r="20" spans="1:21" x14ac:dyDescent="0.3">
      <c r="A20" s="3" t="s">
        <v>20</v>
      </c>
      <c r="B20" s="3"/>
      <c r="C20" s="19" t="s">
        <v>19</v>
      </c>
      <c r="D20" s="25">
        <v>3.36</v>
      </c>
      <c r="E20" s="25">
        <v>3.45</v>
      </c>
      <c r="F20" s="6">
        <v>3.43</v>
      </c>
      <c r="G20" s="6">
        <v>3.29</v>
      </c>
      <c r="H20" s="6">
        <v>3.23</v>
      </c>
      <c r="I20" s="6">
        <v>3.09</v>
      </c>
      <c r="J20" s="6">
        <v>3.27</v>
      </c>
      <c r="K20" s="6">
        <v>3.31</v>
      </c>
      <c r="L20" s="6">
        <v>3.44</v>
      </c>
      <c r="M20" s="6">
        <v>3.17</v>
      </c>
      <c r="N20" s="6">
        <v>3.3</v>
      </c>
      <c r="O20" s="6">
        <v>3.3</v>
      </c>
      <c r="P20" s="6">
        <v>3.37</v>
      </c>
      <c r="Q20" s="6">
        <v>3.42</v>
      </c>
      <c r="R20" s="6">
        <v>3.38</v>
      </c>
      <c r="S20" s="6">
        <v>3.27</v>
      </c>
      <c r="T20" s="6">
        <v>3.27</v>
      </c>
      <c r="U20" s="6">
        <v>3.27</v>
      </c>
    </row>
    <row r="21" spans="1:21" x14ac:dyDescent="0.3">
      <c r="A21" s="3" t="s">
        <v>21</v>
      </c>
      <c r="B21" s="3"/>
      <c r="C21" s="19" t="s">
        <v>19</v>
      </c>
      <c r="D21" s="25">
        <v>100</v>
      </c>
      <c r="E21" s="25">
        <v>100</v>
      </c>
      <c r="F21" s="6">
        <v>100</v>
      </c>
      <c r="G21" s="6">
        <v>100</v>
      </c>
      <c r="H21" s="6">
        <v>100</v>
      </c>
      <c r="I21" s="6">
        <v>100</v>
      </c>
      <c r="J21" s="6">
        <v>100</v>
      </c>
      <c r="K21" s="6">
        <v>100</v>
      </c>
      <c r="L21" s="6">
        <v>100</v>
      </c>
      <c r="M21" s="6">
        <v>100</v>
      </c>
      <c r="N21" s="6">
        <v>100</v>
      </c>
      <c r="O21" s="6">
        <v>100</v>
      </c>
      <c r="P21" s="6">
        <v>100</v>
      </c>
      <c r="Q21" s="6">
        <v>100</v>
      </c>
      <c r="R21" s="6">
        <v>100</v>
      </c>
      <c r="S21" s="6">
        <v>100</v>
      </c>
      <c r="T21" s="6">
        <v>100</v>
      </c>
      <c r="U21" s="6">
        <v>100</v>
      </c>
    </row>
    <row r="22" spans="1:21" x14ac:dyDescent="0.3">
      <c r="A22" s="3" t="s">
        <v>22</v>
      </c>
      <c r="B22" s="3"/>
      <c r="C22" s="19" t="s">
        <v>19</v>
      </c>
      <c r="D22" s="25">
        <v>96.98</v>
      </c>
      <c r="E22" s="25">
        <v>100</v>
      </c>
      <c r="F22" s="6">
        <v>100</v>
      </c>
      <c r="G22" s="6">
        <v>100</v>
      </c>
      <c r="H22" s="6">
        <v>97.51</v>
      </c>
      <c r="I22" s="6">
        <v>94.49</v>
      </c>
      <c r="J22" s="6">
        <v>100</v>
      </c>
      <c r="K22" s="6">
        <v>100</v>
      </c>
      <c r="L22" s="6">
        <v>100</v>
      </c>
      <c r="M22" s="6">
        <v>100</v>
      </c>
      <c r="N22" s="6">
        <v>100</v>
      </c>
      <c r="O22" s="6">
        <v>100</v>
      </c>
      <c r="P22" s="6">
        <v>100</v>
      </c>
      <c r="Q22" s="6">
        <v>96.68</v>
      </c>
      <c r="R22" s="6">
        <v>80.78</v>
      </c>
      <c r="S22" s="6">
        <v>0.52</v>
      </c>
      <c r="T22" s="6">
        <v>54.34</v>
      </c>
      <c r="U22" s="6">
        <v>89.84</v>
      </c>
    </row>
    <row r="23" spans="1:21" x14ac:dyDescent="0.3">
      <c r="A23" s="3" t="s">
        <v>23</v>
      </c>
      <c r="B23" s="3"/>
      <c r="C23" s="19" t="s">
        <v>19</v>
      </c>
      <c r="D23" s="25">
        <v>3.02</v>
      </c>
      <c r="E23" s="23"/>
      <c r="F23" s="7"/>
      <c r="G23" s="7"/>
      <c r="H23" s="6">
        <v>2.4900000000000002</v>
      </c>
      <c r="I23" s="6">
        <v>5.51</v>
      </c>
      <c r="J23" s="7"/>
      <c r="K23" s="7"/>
      <c r="L23" s="7"/>
      <c r="M23" s="7"/>
      <c r="N23" s="7"/>
      <c r="O23" s="7"/>
      <c r="P23" s="7"/>
      <c r="Q23" s="6">
        <v>3.32</v>
      </c>
      <c r="R23" s="6">
        <v>19.22</v>
      </c>
      <c r="S23" s="6">
        <v>99.48</v>
      </c>
      <c r="T23" s="6">
        <v>45.66</v>
      </c>
      <c r="U23" s="6">
        <v>10.16</v>
      </c>
    </row>
    <row r="24" spans="1:21" x14ac:dyDescent="0.3">
      <c r="A24" s="3" t="s">
        <v>24</v>
      </c>
      <c r="B24" s="3"/>
      <c r="C24" s="19" t="s">
        <v>15</v>
      </c>
      <c r="D24" s="24">
        <v>92.2</v>
      </c>
      <c r="E24" s="24">
        <v>74.900000000000006</v>
      </c>
      <c r="F24" s="8">
        <v>56.5</v>
      </c>
      <c r="G24" s="8">
        <v>49.1</v>
      </c>
      <c r="H24" s="8">
        <v>58.4</v>
      </c>
      <c r="I24" s="8">
        <v>85.2</v>
      </c>
      <c r="J24" s="8">
        <v>86.9</v>
      </c>
      <c r="K24" s="8">
        <v>71.599999999999994</v>
      </c>
      <c r="L24" s="8">
        <v>55.1</v>
      </c>
      <c r="M24" s="8">
        <v>50.1</v>
      </c>
      <c r="N24" s="8">
        <v>47</v>
      </c>
      <c r="O24" s="8">
        <v>56.5</v>
      </c>
      <c r="P24" s="8">
        <v>43.2</v>
      </c>
      <c r="Q24" s="8">
        <v>47.7</v>
      </c>
      <c r="R24" s="8">
        <v>45.5</v>
      </c>
      <c r="S24" s="8">
        <v>58.8</v>
      </c>
      <c r="T24" s="8">
        <v>73.7</v>
      </c>
      <c r="U24" s="8">
        <v>47.4</v>
      </c>
    </row>
    <row r="25" spans="1:21" x14ac:dyDescent="0.3">
      <c r="A25" s="3" t="s">
        <v>25</v>
      </c>
      <c r="B25" s="3"/>
      <c r="C25" s="19" t="s">
        <v>15</v>
      </c>
      <c r="D25" s="24">
        <v>24.8</v>
      </c>
      <c r="E25" s="24">
        <v>24.2</v>
      </c>
      <c r="F25" s="8">
        <v>26.4</v>
      </c>
      <c r="G25" s="8">
        <v>24.7</v>
      </c>
      <c r="H25" s="8">
        <v>25.5</v>
      </c>
      <c r="I25" s="8">
        <v>25.4</v>
      </c>
      <c r="J25" s="8">
        <v>28.1</v>
      </c>
      <c r="K25" s="8">
        <v>27.6</v>
      </c>
      <c r="L25" s="8">
        <v>27.4</v>
      </c>
      <c r="M25" s="8">
        <v>29</v>
      </c>
      <c r="N25" s="8">
        <v>27.7</v>
      </c>
      <c r="O25" s="8">
        <v>27.2</v>
      </c>
      <c r="P25" s="8">
        <v>27.5</v>
      </c>
      <c r="Q25" s="8">
        <v>27.6</v>
      </c>
      <c r="R25" s="8">
        <v>27.6</v>
      </c>
      <c r="S25" s="8">
        <v>27.8</v>
      </c>
      <c r="T25" s="8">
        <v>27.8</v>
      </c>
      <c r="U25" s="8">
        <v>27.1</v>
      </c>
    </row>
    <row r="26" spans="1:21" x14ac:dyDescent="0.3">
      <c r="A26" s="3" t="s">
        <v>26</v>
      </c>
      <c r="B26" s="3"/>
      <c r="C26" s="19" t="s">
        <v>15</v>
      </c>
      <c r="D26" s="24">
        <v>24.8</v>
      </c>
      <c r="E26" s="24">
        <v>24.2</v>
      </c>
      <c r="F26" s="8">
        <v>26.2</v>
      </c>
      <c r="G26" s="8">
        <v>24.7</v>
      </c>
      <c r="H26" s="8">
        <v>25.4</v>
      </c>
      <c r="I26" s="8">
        <v>25.4</v>
      </c>
      <c r="J26" s="8">
        <v>27.7</v>
      </c>
      <c r="K26" s="8">
        <v>27.6</v>
      </c>
      <c r="L26" s="8">
        <v>27.2</v>
      </c>
      <c r="M26" s="8">
        <v>29</v>
      </c>
      <c r="N26" s="8">
        <v>27.6</v>
      </c>
      <c r="O26" s="8">
        <v>27</v>
      </c>
      <c r="P26" s="8">
        <v>26.8</v>
      </c>
      <c r="Q26" s="8">
        <v>27.6</v>
      </c>
      <c r="R26" s="8">
        <v>27.5</v>
      </c>
      <c r="S26" s="8">
        <v>27.7</v>
      </c>
      <c r="T26" s="8">
        <v>27.7</v>
      </c>
      <c r="U26" s="8">
        <v>27.1</v>
      </c>
    </row>
    <row r="27" spans="1:21" x14ac:dyDescent="0.3">
      <c r="A27" s="3" t="s">
        <v>27</v>
      </c>
      <c r="B27" s="3"/>
      <c r="C27" s="19" t="s">
        <v>15</v>
      </c>
      <c r="D27" s="24">
        <v>22.8</v>
      </c>
      <c r="E27" s="24">
        <v>22.6</v>
      </c>
      <c r="F27" s="8">
        <v>25.1</v>
      </c>
      <c r="G27" s="8">
        <v>23.6</v>
      </c>
      <c r="H27" s="8">
        <v>24.6</v>
      </c>
      <c r="I27" s="8">
        <v>24</v>
      </c>
      <c r="J27" s="8">
        <v>26.2</v>
      </c>
      <c r="K27" s="8">
        <v>26.2</v>
      </c>
      <c r="L27" s="8">
        <v>25.1</v>
      </c>
      <c r="M27" s="8">
        <v>27.3</v>
      </c>
      <c r="N27" s="8">
        <v>26</v>
      </c>
      <c r="O27" s="8">
        <v>25.9</v>
      </c>
      <c r="P27" s="8">
        <v>26</v>
      </c>
      <c r="Q27" s="8">
        <v>26</v>
      </c>
      <c r="R27" s="8">
        <v>26.1</v>
      </c>
      <c r="S27" s="8">
        <v>26</v>
      </c>
      <c r="T27" s="8">
        <v>26</v>
      </c>
      <c r="U27" s="8">
        <v>25</v>
      </c>
    </row>
    <row r="28" spans="1:21" x14ac:dyDescent="0.3">
      <c r="A28" s="3" t="s">
        <v>28</v>
      </c>
      <c r="B28" s="3"/>
      <c r="C28" s="19" t="s">
        <v>29</v>
      </c>
      <c r="D28" s="22">
        <v>837</v>
      </c>
      <c r="E28" s="22">
        <v>885</v>
      </c>
      <c r="F28" s="5">
        <v>876</v>
      </c>
      <c r="G28" s="5">
        <v>853</v>
      </c>
      <c r="H28" s="5">
        <v>855</v>
      </c>
      <c r="I28" s="5">
        <v>857</v>
      </c>
      <c r="J28" s="5">
        <v>874</v>
      </c>
      <c r="K28" s="5">
        <v>869</v>
      </c>
      <c r="L28" s="5">
        <v>872</v>
      </c>
      <c r="M28" s="5">
        <v>915</v>
      </c>
      <c r="N28" s="5">
        <v>955</v>
      </c>
      <c r="O28" s="5">
        <v>883</v>
      </c>
      <c r="P28" s="5">
        <v>910</v>
      </c>
      <c r="Q28" s="5">
        <v>940</v>
      </c>
      <c r="R28" s="5">
        <v>960</v>
      </c>
      <c r="S28" s="5">
        <v>936</v>
      </c>
      <c r="T28" s="5">
        <v>930</v>
      </c>
      <c r="U28" s="5">
        <v>924</v>
      </c>
    </row>
    <row r="29" spans="1:21" x14ac:dyDescent="0.3">
      <c r="A29" s="3" t="s">
        <v>30</v>
      </c>
      <c r="B29" s="3"/>
      <c r="C29" s="19" t="s">
        <v>29</v>
      </c>
      <c r="D29" s="22">
        <v>841</v>
      </c>
      <c r="E29" s="22">
        <v>845</v>
      </c>
      <c r="F29" s="5">
        <v>920</v>
      </c>
      <c r="G29" s="4">
        <v>1010</v>
      </c>
      <c r="H29" s="5">
        <v>993</v>
      </c>
      <c r="I29" s="4">
        <v>1029</v>
      </c>
      <c r="J29" s="4">
        <v>1020</v>
      </c>
      <c r="K29" s="4">
        <v>1045</v>
      </c>
      <c r="L29" s="4">
        <v>1029</v>
      </c>
      <c r="M29" s="5">
        <v>890</v>
      </c>
      <c r="N29" s="5">
        <v>850</v>
      </c>
      <c r="O29" s="5">
        <v>867</v>
      </c>
      <c r="P29" s="5">
        <v>917</v>
      </c>
      <c r="Q29" s="5">
        <v>984</v>
      </c>
      <c r="R29" s="4">
        <v>1060</v>
      </c>
      <c r="S29" s="4">
        <v>1058</v>
      </c>
      <c r="T29" s="4">
        <v>1023</v>
      </c>
      <c r="U29" s="4">
        <v>1030</v>
      </c>
    </row>
    <row r="30" spans="1:21" x14ac:dyDescent="0.3">
      <c r="A30" s="3" t="s">
        <v>31</v>
      </c>
      <c r="B30" s="3"/>
      <c r="C30" s="19" t="s">
        <v>29</v>
      </c>
      <c r="D30" s="22">
        <v>836</v>
      </c>
      <c r="E30" s="22">
        <v>891</v>
      </c>
      <c r="F30" s="5">
        <v>868</v>
      </c>
      <c r="G30" s="5">
        <v>818</v>
      </c>
      <c r="H30" s="5">
        <v>816</v>
      </c>
      <c r="I30" s="5">
        <v>791</v>
      </c>
      <c r="J30" s="5">
        <v>798</v>
      </c>
      <c r="K30" s="5">
        <v>749</v>
      </c>
      <c r="L30" s="5">
        <v>735</v>
      </c>
      <c r="M30" s="5">
        <v>915</v>
      </c>
      <c r="N30" s="5">
        <v>963</v>
      </c>
      <c r="O30" s="5">
        <v>886</v>
      </c>
      <c r="P30" s="5">
        <v>909</v>
      </c>
      <c r="Q30" s="5">
        <v>930</v>
      </c>
      <c r="R30" s="5">
        <v>922</v>
      </c>
      <c r="S30" s="5">
        <v>873</v>
      </c>
      <c r="T30" s="5">
        <v>869</v>
      </c>
      <c r="U30" s="5">
        <v>832</v>
      </c>
    </row>
    <row r="31" spans="1:21" x14ac:dyDescent="0.3">
      <c r="A31" s="3" t="s">
        <v>32</v>
      </c>
      <c r="B31" s="3"/>
      <c r="C31" s="19" t="s">
        <v>3</v>
      </c>
      <c r="D31" s="22">
        <v>82</v>
      </c>
      <c r="E31" s="22">
        <v>61</v>
      </c>
      <c r="F31" s="5">
        <v>44</v>
      </c>
      <c r="G31" s="5">
        <v>37</v>
      </c>
      <c r="H31" s="5">
        <v>32</v>
      </c>
      <c r="I31" s="5">
        <v>49</v>
      </c>
      <c r="J31" s="5">
        <v>67</v>
      </c>
      <c r="K31" s="5">
        <v>50</v>
      </c>
      <c r="L31" s="5">
        <v>81</v>
      </c>
      <c r="M31" s="5">
        <v>56</v>
      </c>
      <c r="N31" s="5">
        <v>56</v>
      </c>
      <c r="O31" s="5">
        <v>43</v>
      </c>
      <c r="P31" s="5">
        <v>50</v>
      </c>
      <c r="Q31" s="5">
        <v>51</v>
      </c>
      <c r="R31" s="5">
        <v>49</v>
      </c>
      <c r="S31" s="5">
        <v>61</v>
      </c>
      <c r="T31" s="5">
        <v>57</v>
      </c>
      <c r="U31" s="5">
        <v>67</v>
      </c>
    </row>
    <row r="32" spans="1:21" x14ac:dyDescent="0.3">
      <c r="A32" s="3" t="s">
        <v>33</v>
      </c>
      <c r="B32" s="3"/>
      <c r="C32" s="19" t="s">
        <v>3</v>
      </c>
      <c r="D32" s="22">
        <v>56</v>
      </c>
      <c r="E32" s="22">
        <v>45</v>
      </c>
      <c r="F32" s="5">
        <v>17</v>
      </c>
      <c r="G32" s="5">
        <v>20</v>
      </c>
      <c r="H32" s="5">
        <v>15</v>
      </c>
      <c r="I32" s="5">
        <v>25</v>
      </c>
      <c r="J32" s="5">
        <v>46</v>
      </c>
      <c r="K32" s="5">
        <v>36</v>
      </c>
      <c r="L32" s="5">
        <v>44</v>
      </c>
      <c r="M32" s="5">
        <v>36</v>
      </c>
      <c r="N32" s="5">
        <v>34</v>
      </c>
      <c r="O32" s="5">
        <v>34</v>
      </c>
      <c r="P32" s="5">
        <v>36</v>
      </c>
      <c r="Q32" s="5">
        <v>32</v>
      </c>
      <c r="R32" s="5">
        <v>21</v>
      </c>
      <c r="S32" s="5">
        <v>38</v>
      </c>
      <c r="T32" s="5">
        <v>40</v>
      </c>
      <c r="U32" s="5">
        <v>36</v>
      </c>
    </row>
    <row r="33" spans="1:21" x14ac:dyDescent="0.3">
      <c r="A33" s="3" t="s">
        <v>34</v>
      </c>
      <c r="B33" s="3"/>
      <c r="C33" s="19" t="s">
        <v>3</v>
      </c>
      <c r="D33" s="22">
        <v>26</v>
      </c>
      <c r="E33" s="22">
        <v>16</v>
      </c>
      <c r="F33" s="5">
        <v>27</v>
      </c>
      <c r="G33" s="5">
        <v>17</v>
      </c>
      <c r="H33" s="5">
        <v>17</v>
      </c>
      <c r="I33" s="5">
        <v>24</v>
      </c>
      <c r="J33" s="5">
        <v>21</v>
      </c>
      <c r="K33" s="5">
        <v>14</v>
      </c>
      <c r="L33" s="5">
        <v>37</v>
      </c>
      <c r="M33" s="5">
        <v>20</v>
      </c>
      <c r="N33" s="5">
        <v>22</v>
      </c>
      <c r="O33" s="5">
        <v>9</v>
      </c>
      <c r="P33" s="5">
        <v>14</v>
      </c>
      <c r="Q33" s="5">
        <v>19</v>
      </c>
      <c r="R33" s="5">
        <v>28</v>
      </c>
      <c r="S33" s="5">
        <v>23</v>
      </c>
      <c r="T33" s="5">
        <v>17</v>
      </c>
      <c r="U33" s="5">
        <v>31</v>
      </c>
    </row>
    <row r="34" spans="1:21" x14ac:dyDescent="0.3">
      <c r="A34" s="3" t="s">
        <v>35</v>
      </c>
      <c r="B34" s="3"/>
      <c r="C34" s="19" t="s">
        <v>3</v>
      </c>
      <c r="D34" s="24">
        <v>7.9</v>
      </c>
      <c r="E34" s="24">
        <v>6.4</v>
      </c>
      <c r="F34" s="8">
        <v>2.4</v>
      </c>
      <c r="G34" s="8">
        <v>2.8</v>
      </c>
      <c r="H34" s="8">
        <v>2.1</v>
      </c>
      <c r="I34" s="8">
        <v>3.5</v>
      </c>
      <c r="J34" s="8">
        <v>6.5</v>
      </c>
      <c r="K34" s="8">
        <v>5.0999999999999996</v>
      </c>
      <c r="L34" s="8">
        <v>6.2</v>
      </c>
      <c r="M34" s="8">
        <v>4.5999999999999996</v>
      </c>
      <c r="N34" s="8">
        <v>4.4000000000000004</v>
      </c>
      <c r="O34" s="8">
        <v>4.4000000000000004</v>
      </c>
      <c r="P34" s="8">
        <v>4.5999999999999996</v>
      </c>
      <c r="Q34" s="8">
        <v>4.0999999999999996</v>
      </c>
      <c r="R34" s="8">
        <v>2.7</v>
      </c>
      <c r="S34" s="8">
        <v>4.9000000000000004</v>
      </c>
      <c r="T34" s="8">
        <v>5.0999999999999996</v>
      </c>
      <c r="U34" s="8">
        <v>4.5999999999999996</v>
      </c>
    </row>
    <row r="35" spans="1:21" x14ac:dyDescent="0.3">
      <c r="A35" s="3" t="s">
        <v>36</v>
      </c>
      <c r="B35" s="3"/>
      <c r="C35" s="19" t="s">
        <v>3</v>
      </c>
      <c r="D35" s="24">
        <v>11.4</v>
      </c>
      <c r="E35" s="24">
        <v>8.4</v>
      </c>
      <c r="F35" s="8">
        <v>6.1</v>
      </c>
      <c r="G35" s="8">
        <v>5.0999999999999996</v>
      </c>
      <c r="H35" s="8">
        <v>4.4000000000000004</v>
      </c>
      <c r="I35" s="8">
        <v>6.8</v>
      </c>
      <c r="J35" s="8">
        <v>9.3000000000000007</v>
      </c>
      <c r="K35" s="8">
        <v>6.9</v>
      </c>
      <c r="L35" s="8">
        <v>11.2</v>
      </c>
      <c r="M35" s="8">
        <v>7.1</v>
      </c>
      <c r="N35" s="8">
        <v>7.1</v>
      </c>
      <c r="O35" s="8">
        <v>5.5</v>
      </c>
      <c r="P35" s="8">
        <v>6.4</v>
      </c>
      <c r="Q35" s="8">
        <v>6.5</v>
      </c>
      <c r="R35" s="8">
        <v>6.3</v>
      </c>
      <c r="S35" s="8">
        <v>7.8</v>
      </c>
      <c r="T35" s="8">
        <v>7.3</v>
      </c>
      <c r="U35" s="8">
        <v>8.5</v>
      </c>
    </row>
    <row r="36" spans="1:21" x14ac:dyDescent="0.3">
      <c r="A36" s="3" t="s">
        <v>37</v>
      </c>
      <c r="B36" s="3"/>
      <c r="C36" s="19" t="s">
        <v>3</v>
      </c>
      <c r="D36" s="22">
        <v>90</v>
      </c>
      <c r="E36" s="22">
        <v>96</v>
      </c>
      <c r="F36" s="5">
        <v>95</v>
      </c>
      <c r="G36" s="5">
        <v>102</v>
      </c>
      <c r="H36" s="5">
        <v>99</v>
      </c>
      <c r="I36" s="5">
        <v>98</v>
      </c>
      <c r="J36" s="5">
        <v>86</v>
      </c>
      <c r="K36" s="5">
        <v>111</v>
      </c>
      <c r="L36" s="5">
        <v>85</v>
      </c>
      <c r="M36" s="5">
        <v>110</v>
      </c>
      <c r="N36" s="5">
        <v>105</v>
      </c>
      <c r="O36" s="5">
        <v>144</v>
      </c>
      <c r="P36" s="5">
        <v>146</v>
      </c>
      <c r="Q36" s="5">
        <v>136</v>
      </c>
      <c r="R36" s="5">
        <v>89</v>
      </c>
      <c r="S36" s="5">
        <v>113</v>
      </c>
      <c r="T36" s="5">
        <v>106</v>
      </c>
      <c r="U36" s="5">
        <v>88</v>
      </c>
    </row>
    <row r="37" spans="1:21" x14ac:dyDescent="0.3">
      <c r="A37" s="3" t="s">
        <v>38</v>
      </c>
      <c r="B37" s="3"/>
      <c r="C37" s="19" t="s">
        <v>3</v>
      </c>
      <c r="D37" s="22">
        <v>56</v>
      </c>
      <c r="E37" s="22">
        <v>63</v>
      </c>
      <c r="F37" s="5">
        <v>64</v>
      </c>
      <c r="G37" s="5">
        <v>81</v>
      </c>
      <c r="H37" s="5">
        <v>67</v>
      </c>
      <c r="I37" s="5">
        <v>68</v>
      </c>
      <c r="J37" s="5">
        <v>62</v>
      </c>
      <c r="K37" s="5">
        <v>77</v>
      </c>
      <c r="L37" s="5">
        <v>50</v>
      </c>
      <c r="M37" s="5">
        <v>77</v>
      </c>
      <c r="N37" s="5">
        <v>76</v>
      </c>
      <c r="O37" s="5">
        <v>104</v>
      </c>
      <c r="P37" s="5">
        <v>109</v>
      </c>
      <c r="Q37" s="5">
        <v>101</v>
      </c>
      <c r="R37" s="5">
        <v>67</v>
      </c>
      <c r="S37" s="5">
        <v>82</v>
      </c>
      <c r="T37" s="5">
        <v>79</v>
      </c>
      <c r="U37" s="5">
        <v>64</v>
      </c>
    </row>
    <row r="38" spans="1:21" x14ac:dyDescent="0.3">
      <c r="A38" s="3" t="s">
        <v>39</v>
      </c>
      <c r="B38" s="3"/>
      <c r="C38" s="19" t="s">
        <v>3</v>
      </c>
      <c r="D38" s="22">
        <v>34</v>
      </c>
      <c r="E38" s="22">
        <v>33</v>
      </c>
      <c r="F38" s="5">
        <v>31</v>
      </c>
      <c r="G38" s="5">
        <v>21</v>
      </c>
      <c r="H38" s="5">
        <v>32</v>
      </c>
      <c r="I38" s="5">
        <v>30</v>
      </c>
      <c r="J38" s="5">
        <v>24</v>
      </c>
      <c r="K38" s="5">
        <v>34</v>
      </c>
      <c r="L38" s="5">
        <v>35</v>
      </c>
      <c r="M38" s="5">
        <v>33</v>
      </c>
      <c r="N38" s="5">
        <v>29</v>
      </c>
      <c r="O38" s="5">
        <v>40</v>
      </c>
      <c r="P38" s="5">
        <v>37</v>
      </c>
      <c r="Q38" s="5">
        <v>35</v>
      </c>
      <c r="R38" s="5">
        <v>22</v>
      </c>
      <c r="S38" s="5">
        <v>31</v>
      </c>
      <c r="T38" s="5">
        <v>27</v>
      </c>
      <c r="U38" s="5">
        <v>24</v>
      </c>
    </row>
    <row r="39" spans="1:21" x14ac:dyDescent="0.3">
      <c r="A39" s="3" t="s">
        <v>40</v>
      </c>
      <c r="B39" s="3"/>
      <c r="C39" s="19" t="s">
        <v>41</v>
      </c>
      <c r="D39" s="21">
        <v>6335</v>
      </c>
      <c r="E39" s="21">
        <v>5928</v>
      </c>
      <c r="F39" s="4">
        <v>5942</v>
      </c>
      <c r="G39" s="4">
        <v>6156</v>
      </c>
      <c r="H39" s="4">
        <v>6700</v>
      </c>
      <c r="I39" s="4">
        <v>6162</v>
      </c>
      <c r="J39" s="4">
        <v>5423</v>
      </c>
      <c r="K39" s="4">
        <v>5649</v>
      </c>
      <c r="L39" s="4">
        <v>6178</v>
      </c>
      <c r="M39" s="4">
        <v>7332</v>
      </c>
      <c r="N39" s="4">
        <v>7419</v>
      </c>
      <c r="O39" s="4">
        <v>8282</v>
      </c>
      <c r="P39" s="4">
        <v>8545</v>
      </c>
      <c r="Q39" s="4">
        <v>7946</v>
      </c>
      <c r="R39" s="4">
        <v>7804</v>
      </c>
      <c r="S39" s="4">
        <v>8292</v>
      </c>
      <c r="T39" s="4">
        <v>7839</v>
      </c>
      <c r="U39" s="4">
        <v>7393</v>
      </c>
    </row>
    <row r="40" spans="1:21" x14ac:dyDescent="0.3">
      <c r="A40" s="3" t="s">
        <v>42</v>
      </c>
      <c r="B40" s="3"/>
      <c r="C40" s="19" t="s">
        <v>41</v>
      </c>
      <c r="D40" s="25">
        <v>0.77</v>
      </c>
      <c r="E40" s="25">
        <v>0.79</v>
      </c>
      <c r="F40" s="6">
        <v>0.71</v>
      </c>
      <c r="G40" s="6">
        <v>0.74</v>
      </c>
      <c r="H40" s="6">
        <v>0.83</v>
      </c>
      <c r="I40" s="6">
        <v>0.74</v>
      </c>
      <c r="J40" s="6">
        <v>0.59</v>
      </c>
      <c r="K40" s="6">
        <v>0.65</v>
      </c>
      <c r="L40" s="6">
        <v>0.75</v>
      </c>
      <c r="M40" s="6">
        <v>0.79</v>
      </c>
      <c r="N40" s="6">
        <v>0.88</v>
      </c>
      <c r="O40" s="6">
        <v>0.92</v>
      </c>
      <c r="P40" s="6">
        <v>0.98</v>
      </c>
      <c r="Q40" s="6">
        <v>0.85</v>
      </c>
      <c r="R40" s="6">
        <v>0.88</v>
      </c>
      <c r="S40" s="6">
        <v>0.95</v>
      </c>
      <c r="T40" s="6">
        <v>0.92</v>
      </c>
      <c r="U40" s="6">
        <v>0.87</v>
      </c>
    </row>
    <row r="41" spans="1:21" x14ac:dyDescent="0.3">
      <c r="A41" s="3" t="s">
        <v>43</v>
      </c>
      <c r="B41" s="3"/>
      <c r="C41" s="19" t="s">
        <v>41</v>
      </c>
      <c r="D41" s="24">
        <v>8.3000000000000007</v>
      </c>
      <c r="E41" s="24">
        <v>7.9</v>
      </c>
      <c r="F41" s="8">
        <v>7.4</v>
      </c>
      <c r="G41" s="8">
        <v>8.4</v>
      </c>
      <c r="H41" s="8">
        <v>7.8</v>
      </c>
      <c r="I41" s="8">
        <v>8.1999999999999993</v>
      </c>
      <c r="J41" s="8">
        <v>7.6</v>
      </c>
      <c r="K41" s="8">
        <v>6.8</v>
      </c>
      <c r="L41" s="8">
        <v>7.1</v>
      </c>
      <c r="M41" s="8">
        <v>8.3000000000000007</v>
      </c>
      <c r="N41" s="8">
        <v>8.9</v>
      </c>
      <c r="O41" s="8">
        <v>9.6</v>
      </c>
      <c r="P41" s="8">
        <v>9.8000000000000007</v>
      </c>
      <c r="Q41" s="8">
        <v>9.6</v>
      </c>
      <c r="R41" s="8">
        <v>8.9</v>
      </c>
      <c r="S41" s="8">
        <v>9</v>
      </c>
      <c r="T41" s="8">
        <v>8.9</v>
      </c>
      <c r="U41" s="8">
        <v>9.1999999999999993</v>
      </c>
    </row>
    <row r="42" spans="1:21" x14ac:dyDescent="0.3">
      <c r="A42" s="13" t="s">
        <v>44</v>
      </c>
      <c r="B42" s="13"/>
      <c r="C42" s="19" t="s">
        <v>3</v>
      </c>
      <c r="D42" s="22">
        <v>37</v>
      </c>
      <c r="E42" s="22">
        <v>30</v>
      </c>
      <c r="F42" s="14">
        <v>34</v>
      </c>
      <c r="G42" s="14">
        <v>34</v>
      </c>
      <c r="H42" s="14">
        <v>31</v>
      </c>
      <c r="I42" s="14">
        <v>21</v>
      </c>
      <c r="J42" s="14">
        <v>36</v>
      </c>
      <c r="K42" s="14">
        <v>31</v>
      </c>
      <c r="L42" s="14">
        <v>48</v>
      </c>
      <c r="M42" s="5">
        <v>25</v>
      </c>
      <c r="N42" s="5">
        <v>37</v>
      </c>
      <c r="O42" s="14">
        <v>33</v>
      </c>
      <c r="P42" s="14">
        <v>29</v>
      </c>
      <c r="Q42" s="14">
        <v>21</v>
      </c>
      <c r="R42" s="14">
        <v>41</v>
      </c>
      <c r="S42" s="14">
        <v>28</v>
      </c>
      <c r="T42" s="14">
        <v>22</v>
      </c>
      <c r="U42" s="14">
        <v>35</v>
      </c>
    </row>
    <row r="43" spans="1:21" x14ac:dyDescent="0.3">
      <c r="A43" s="2"/>
      <c r="B43" s="15"/>
      <c r="C43" s="19" t="s">
        <v>15</v>
      </c>
      <c r="D43" s="24">
        <v>14.4</v>
      </c>
      <c r="E43" s="24">
        <v>11.6</v>
      </c>
      <c r="F43" s="12">
        <v>18.5</v>
      </c>
      <c r="G43" s="12">
        <v>15</v>
      </c>
      <c r="H43" s="12">
        <v>9.9</v>
      </c>
      <c r="I43" s="12">
        <v>7.7</v>
      </c>
      <c r="J43" s="12">
        <v>13.5</v>
      </c>
      <c r="K43" s="12">
        <v>13.1</v>
      </c>
      <c r="L43" s="12">
        <v>19.5</v>
      </c>
      <c r="M43" s="8">
        <v>13.2</v>
      </c>
      <c r="N43" s="8">
        <v>14.9</v>
      </c>
      <c r="O43" s="12">
        <v>13.4</v>
      </c>
      <c r="P43" s="12">
        <v>13.7</v>
      </c>
      <c r="Q43" s="12">
        <v>7.8</v>
      </c>
      <c r="R43" s="12">
        <v>22.3</v>
      </c>
      <c r="S43" s="12">
        <v>14.4</v>
      </c>
      <c r="T43" s="12">
        <v>9.1999999999999993</v>
      </c>
      <c r="U43" s="12">
        <v>18</v>
      </c>
    </row>
    <row r="44" spans="1:21" x14ac:dyDescent="0.3">
      <c r="A44" s="16" t="s">
        <v>45</v>
      </c>
      <c r="B44" s="16"/>
      <c r="C44" s="19" t="s">
        <v>17</v>
      </c>
      <c r="D44" s="22">
        <v>390</v>
      </c>
      <c r="E44" s="22">
        <v>387</v>
      </c>
      <c r="F44" s="17">
        <v>543</v>
      </c>
      <c r="G44" s="17">
        <v>442</v>
      </c>
      <c r="H44" s="17">
        <v>321</v>
      </c>
      <c r="I44" s="17">
        <v>366</v>
      </c>
      <c r="J44" s="17">
        <v>374</v>
      </c>
      <c r="K44" s="17">
        <v>423</v>
      </c>
      <c r="L44" s="17">
        <v>406</v>
      </c>
      <c r="M44" s="5">
        <v>529</v>
      </c>
      <c r="N44" s="5">
        <v>404</v>
      </c>
      <c r="O44" s="17">
        <v>406</v>
      </c>
      <c r="P44" s="17">
        <v>473</v>
      </c>
      <c r="Q44" s="17">
        <v>372</v>
      </c>
      <c r="R44" s="17">
        <v>545</v>
      </c>
      <c r="S44" s="17">
        <v>516</v>
      </c>
      <c r="T44" s="17">
        <v>418</v>
      </c>
      <c r="U44" s="17">
        <v>515</v>
      </c>
    </row>
    <row r="45" spans="1:21" x14ac:dyDescent="0.3">
      <c r="A45" s="13" t="s">
        <v>46</v>
      </c>
      <c r="B45" s="13"/>
      <c r="C45" s="19" t="s">
        <v>3</v>
      </c>
      <c r="D45" s="22">
        <v>33</v>
      </c>
      <c r="E45" s="22">
        <v>25</v>
      </c>
      <c r="F45" s="14">
        <v>33</v>
      </c>
      <c r="G45" s="14">
        <v>29</v>
      </c>
      <c r="H45" s="14">
        <v>28</v>
      </c>
      <c r="I45" s="14">
        <v>20</v>
      </c>
      <c r="J45" s="14">
        <v>33</v>
      </c>
      <c r="K45" s="14">
        <v>31</v>
      </c>
      <c r="L45" s="14">
        <v>48</v>
      </c>
      <c r="M45" s="5">
        <v>25</v>
      </c>
      <c r="N45" s="5">
        <v>37</v>
      </c>
      <c r="O45" s="14">
        <v>31</v>
      </c>
      <c r="P45" s="14">
        <v>29</v>
      </c>
      <c r="Q45" s="14">
        <v>20</v>
      </c>
      <c r="R45" s="14">
        <v>41</v>
      </c>
      <c r="S45" s="14">
        <v>28</v>
      </c>
      <c r="T45" s="14">
        <v>22</v>
      </c>
      <c r="U45" s="14">
        <v>35</v>
      </c>
    </row>
    <row r="46" spans="1:21" x14ac:dyDescent="0.3">
      <c r="A46" s="2"/>
      <c r="B46" s="15"/>
      <c r="C46" s="19" t="s">
        <v>15</v>
      </c>
      <c r="D46" s="24">
        <v>12.4</v>
      </c>
      <c r="E46" s="24">
        <v>10.8</v>
      </c>
      <c r="F46" s="12">
        <v>17.8</v>
      </c>
      <c r="G46" s="12">
        <v>12.4</v>
      </c>
      <c r="H46" s="12">
        <v>9.1</v>
      </c>
      <c r="I46" s="12">
        <v>7.3</v>
      </c>
      <c r="J46" s="12">
        <v>12.7</v>
      </c>
      <c r="K46" s="12">
        <v>13.1</v>
      </c>
      <c r="L46" s="12">
        <v>19.5</v>
      </c>
      <c r="M46" s="8">
        <v>13.2</v>
      </c>
      <c r="N46" s="8">
        <v>14.9</v>
      </c>
      <c r="O46" s="12">
        <v>12.3</v>
      </c>
      <c r="P46" s="12">
        <v>13.7</v>
      </c>
      <c r="Q46" s="12">
        <v>7.8</v>
      </c>
      <c r="R46" s="12">
        <v>22.3</v>
      </c>
      <c r="S46" s="12">
        <v>14.4</v>
      </c>
      <c r="T46" s="12">
        <v>9.1999999999999993</v>
      </c>
      <c r="U46" s="12">
        <v>18</v>
      </c>
    </row>
    <row r="47" spans="1:21" x14ac:dyDescent="0.3">
      <c r="A47" s="16" t="s">
        <v>45</v>
      </c>
      <c r="B47" s="16"/>
      <c r="C47" s="19" t="s">
        <v>17</v>
      </c>
      <c r="D47" s="22">
        <v>377</v>
      </c>
      <c r="E47" s="22">
        <v>430</v>
      </c>
      <c r="F47" s="17">
        <v>541</v>
      </c>
      <c r="G47" s="17">
        <v>426</v>
      </c>
      <c r="H47" s="17">
        <v>326</v>
      </c>
      <c r="I47" s="17">
        <v>364</v>
      </c>
      <c r="J47" s="17">
        <v>384</v>
      </c>
      <c r="K47" s="17">
        <v>423</v>
      </c>
      <c r="L47" s="17">
        <v>406</v>
      </c>
      <c r="M47" s="5">
        <v>529</v>
      </c>
      <c r="N47" s="5">
        <v>404</v>
      </c>
      <c r="O47" s="17">
        <v>395</v>
      </c>
      <c r="P47" s="17">
        <v>473</v>
      </c>
      <c r="Q47" s="17">
        <v>388</v>
      </c>
      <c r="R47" s="17">
        <v>545</v>
      </c>
      <c r="S47" s="17">
        <v>516</v>
      </c>
      <c r="T47" s="17">
        <v>418</v>
      </c>
      <c r="U47" s="17">
        <v>515</v>
      </c>
    </row>
    <row r="48" spans="1:21" x14ac:dyDescent="0.3">
      <c r="A48" s="3" t="s">
        <v>47</v>
      </c>
      <c r="B48" s="3"/>
      <c r="C48" s="19" t="s">
        <v>3</v>
      </c>
      <c r="D48" s="22">
        <v>4</v>
      </c>
      <c r="E48" s="22">
        <v>4</v>
      </c>
      <c r="F48" s="5">
        <v>4</v>
      </c>
      <c r="G48" s="5">
        <v>3</v>
      </c>
      <c r="H48" s="5">
        <v>3</v>
      </c>
      <c r="I48" s="5">
        <v>2</v>
      </c>
      <c r="J48" s="22">
        <v>3</v>
      </c>
      <c r="K48" s="5">
        <v>4</v>
      </c>
      <c r="L48" s="5">
        <v>9</v>
      </c>
      <c r="M48" s="5">
        <v>2</v>
      </c>
      <c r="N48" s="5">
        <v>4</v>
      </c>
      <c r="O48" s="5">
        <v>4</v>
      </c>
      <c r="P48" s="5">
        <v>7</v>
      </c>
      <c r="Q48" s="5">
        <v>4</v>
      </c>
      <c r="R48" s="5">
        <v>4</v>
      </c>
      <c r="S48" s="5">
        <v>5</v>
      </c>
      <c r="T48" s="5">
        <v>7</v>
      </c>
      <c r="U48" s="5">
        <v>3</v>
      </c>
    </row>
  </sheetData>
  <mergeCells count="44">
    <mergeCell ref="A45:B46"/>
    <mergeCell ref="A47:B47"/>
    <mergeCell ref="A48:B48"/>
    <mergeCell ref="A1:U1"/>
    <mergeCell ref="A38:B38"/>
    <mergeCell ref="A39:B39"/>
    <mergeCell ref="A40:B40"/>
    <mergeCell ref="A41:B41"/>
    <mergeCell ref="A42:B43"/>
    <mergeCell ref="A44:B44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9:B19"/>
    <mergeCell ref="A9:B9"/>
    <mergeCell ref="A10:B10"/>
    <mergeCell ref="A11:B11"/>
    <mergeCell ref="A12:B12"/>
    <mergeCell ref="A13:B13"/>
    <mergeCell ref="A3:B3"/>
    <mergeCell ref="A4:B4"/>
    <mergeCell ref="A5:B5"/>
    <mergeCell ref="A6:B6"/>
    <mergeCell ref="A7:B7"/>
    <mergeCell ref="A8:B8"/>
    <mergeCell ref="A2:B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Миша Лухтан</dc:creator>
  <cp:lastModifiedBy>Миша Лухтан</cp:lastModifiedBy>
  <dcterms:created xsi:type="dcterms:W3CDTF">2026-10-04T11:32:49Z</dcterms:created>
  <dcterms:modified xsi:type="dcterms:W3CDTF">2026-10-04T12:10:09Z</dcterms:modified>
</cp:coreProperties>
</file>