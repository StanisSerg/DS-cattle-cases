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asus\IWE\PACK-cattle-science\cases\CASE-002\raw\"/>
    </mc:Choice>
  </mc:AlternateContent>
  <xr:revisionPtr revIDLastSave="0" documentId="13_ncr:1_{33C8D2A0-397D-4BE7-AE36-D45B98B7E2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G19" i="1"/>
  <c r="H15" i="1"/>
  <c r="H16" i="1"/>
  <c r="H17" i="1"/>
  <c r="H14" i="1"/>
  <c r="G18" i="1"/>
  <c r="D15" i="1"/>
  <c r="D16" i="1"/>
  <c r="D17" i="1"/>
  <c r="D14" i="1"/>
  <c r="C18" i="1"/>
  <c r="H6" i="1"/>
  <c r="H7" i="1"/>
  <c r="H8" i="1"/>
  <c r="H5" i="1"/>
  <c r="G9" i="1"/>
  <c r="D6" i="1"/>
  <c r="D7" i="1"/>
  <c r="D8" i="1"/>
  <c r="D5" i="1"/>
  <c r="C9" i="1"/>
</calcChain>
</file>

<file path=xl/sharedStrings.xml><?xml version="1.0" encoding="utf-8"?>
<sst xmlns="http://schemas.openxmlformats.org/spreadsheetml/2006/main" count="8" uniqueCount="7">
  <si>
    <t>пенсильванские сита</t>
  </si>
  <si>
    <t>Группа 2</t>
  </si>
  <si>
    <t>1 просев</t>
  </si>
  <si>
    <t>2 просев</t>
  </si>
  <si>
    <t>Силос</t>
  </si>
  <si>
    <t>Сенаж люцерна</t>
  </si>
  <si>
    <t>pef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</si>
</sst>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1" applyNumberFormat="1" applyFont="1"/>
    <xf numFmtId="10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9"/>
  <sheetViews>
    <sheetView tabSelected="1" workbookViewId="0">
      <selection activeCell="C20" sqref="C20"/>
    </sheetView>
  </sheetViews>
  <sheetFormatPr defaultRowHeight="14.5" x14ac:dyDescent="0.35"/>
  <cols>
    <col min="2" max="2" width="19" bestFit="1" customWidth="1"/>
    <col min="3" max="3" width="9.90625" bestFit="1" customWidth="1"/>
    <col min="6" max="6" width="9.90625" bestFit="1" customWidth="1"/>
  </cols>
  <sheetData>
    <row r="2" spans="2:8" x14ac:dyDescent="0.35">
      <c r="B2" t="s">
        <v>0</v>
      </c>
      <c r="C2" s="1">
        <v>46211</v>
      </c>
      <c r="D2" t="s">
        <v>1</v>
      </c>
    </row>
    <row r="4" spans="2:8" x14ac:dyDescent="0.35">
      <c r="B4" s="5" t="s">
        <v>2</v>
      </c>
      <c r="C4" s="5"/>
      <c r="D4" s="5"/>
      <c r="F4" s="5" t="s">
        <v>3</v>
      </c>
      <c r="G4" s="5"/>
      <c r="H4" s="5"/>
    </row>
    <row r="5" spans="2:8" x14ac:dyDescent="0.35">
      <c r="B5" s="3">
        <v>1</v>
      </c>
      <c r="C5" s="3">
        <v>11.5</v>
      </c>
      <c r="D5" s="4">
        <f>C5/$C$9</f>
        <v>2.1355617455896009E-2</v>
      </c>
      <c r="F5" s="3">
        <v>1</v>
      </c>
      <c r="G5" s="3">
        <v>12</v>
      </c>
      <c r="H5" s="2">
        <f>G5/$G$9</f>
        <v>2.2429906542056073E-2</v>
      </c>
    </row>
    <row r="6" spans="2:8" x14ac:dyDescent="0.35">
      <c r="B6" s="3">
        <v>2</v>
      </c>
      <c r="C6" s="3">
        <v>257</v>
      </c>
      <c r="D6" s="4">
        <f t="shared" ref="D6:D8" si="0">C6/$C$9</f>
        <v>0.47725162488393685</v>
      </c>
      <c r="F6" s="3">
        <v>2</v>
      </c>
      <c r="G6" s="3">
        <v>250</v>
      </c>
      <c r="H6" s="2">
        <f t="shared" ref="H6:H8" si="1">G6/$G$9</f>
        <v>0.46728971962616822</v>
      </c>
    </row>
    <row r="7" spans="2:8" x14ac:dyDescent="0.35">
      <c r="B7" s="3">
        <v>3</v>
      </c>
      <c r="C7" s="3">
        <v>83</v>
      </c>
      <c r="D7" s="4">
        <f t="shared" si="0"/>
        <v>0.1541318477251625</v>
      </c>
      <c r="F7" s="3">
        <v>3</v>
      </c>
      <c r="G7" s="3">
        <v>80</v>
      </c>
      <c r="H7" s="2">
        <f t="shared" si="1"/>
        <v>0.14953271028037382</v>
      </c>
    </row>
    <row r="8" spans="2:8" x14ac:dyDescent="0.35">
      <c r="B8" s="3">
        <v>4</v>
      </c>
      <c r="C8" s="3">
        <v>187</v>
      </c>
      <c r="D8" s="4">
        <f t="shared" si="0"/>
        <v>0.34726090993500464</v>
      </c>
      <c r="F8" s="3">
        <v>4</v>
      </c>
      <c r="G8" s="3">
        <v>193</v>
      </c>
      <c r="H8" s="2">
        <f t="shared" si="1"/>
        <v>0.36074766355140186</v>
      </c>
    </row>
    <row r="9" spans="2:8" x14ac:dyDescent="0.35">
      <c r="B9" s="3"/>
      <c r="C9" s="3">
        <f>SUM(C5:C8)</f>
        <v>538.5</v>
      </c>
      <c r="D9" s="3"/>
      <c r="F9" s="3"/>
      <c r="G9" s="3">
        <f>SUM(G5:G8)</f>
        <v>535</v>
      </c>
    </row>
    <row r="12" spans="2:8" x14ac:dyDescent="0.35">
      <c r="B12" s="1">
        <v>46212</v>
      </c>
      <c r="F12" s="1">
        <v>46212</v>
      </c>
    </row>
    <row r="13" spans="2:8" x14ac:dyDescent="0.35">
      <c r="B13" s="5" t="s">
        <v>4</v>
      </c>
      <c r="C13" s="5"/>
      <c r="D13" s="5"/>
      <c r="F13" s="5" t="s">
        <v>5</v>
      </c>
      <c r="G13" s="5"/>
      <c r="H13" s="5"/>
    </row>
    <row r="14" spans="2:8" x14ac:dyDescent="0.35">
      <c r="B14" s="3">
        <v>1</v>
      </c>
      <c r="C14" s="3">
        <v>26</v>
      </c>
      <c r="D14" s="6">
        <f>C14/$C$18</f>
        <v>5.0583657587548639E-2</v>
      </c>
      <c r="F14" s="3">
        <v>1</v>
      </c>
      <c r="G14" s="3">
        <v>9</v>
      </c>
      <c r="H14" s="7">
        <f>G14/$G$18</f>
        <v>2.057142857142857E-2</v>
      </c>
    </row>
    <row r="15" spans="2:8" x14ac:dyDescent="0.35">
      <c r="B15" s="3">
        <v>2</v>
      </c>
      <c r="C15" s="3">
        <v>355</v>
      </c>
      <c r="D15" s="6">
        <f t="shared" ref="D15:D17" si="2">C15/$C$18</f>
        <v>0.69066147859922178</v>
      </c>
      <c r="F15" s="3">
        <v>2</v>
      </c>
      <c r="G15" s="3">
        <v>301</v>
      </c>
      <c r="H15" s="7">
        <f t="shared" ref="H15:H17" si="3">G15/$G$18</f>
        <v>0.68799999999999994</v>
      </c>
    </row>
    <row r="16" spans="2:8" x14ac:dyDescent="0.35">
      <c r="B16" s="3">
        <v>3</v>
      </c>
      <c r="C16" s="3">
        <v>64</v>
      </c>
      <c r="D16" s="6">
        <f t="shared" si="2"/>
        <v>0.1245136186770428</v>
      </c>
      <c r="F16" s="3">
        <v>3</v>
      </c>
      <c r="G16" s="3">
        <v>85.5</v>
      </c>
      <c r="H16" s="7">
        <f t="shared" si="3"/>
        <v>0.19542857142857142</v>
      </c>
    </row>
    <row r="17" spans="2:8" x14ac:dyDescent="0.35">
      <c r="B17" s="3">
        <v>4</v>
      </c>
      <c r="C17" s="3">
        <v>69</v>
      </c>
      <c r="D17" s="6">
        <f t="shared" si="2"/>
        <v>0.13424124513618677</v>
      </c>
      <c r="F17" s="3">
        <v>4</v>
      </c>
      <c r="G17" s="3">
        <v>42</v>
      </c>
      <c r="H17" s="7">
        <f t="shared" si="3"/>
        <v>9.6000000000000002E-2</v>
      </c>
    </row>
    <row r="18" spans="2:8" x14ac:dyDescent="0.35">
      <c r="C18">
        <f>SUM(C14:C17)</f>
        <v>514</v>
      </c>
      <c r="G18">
        <f>SUM(G14:G17)</f>
        <v>437.5</v>
      </c>
    </row>
    <row r="19" spans="2:8" x14ac:dyDescent="0.35">
      <c r="B19" t="s">
        <v>6</v>
      </c>
      <c r="C19" s="8">
        <f>SUM(D14:D16)</f>
        <v>0.86575875486381326</v>
      </c>
      <c r="F19" t="s">
        <v>6</v>
      </c>
      <c r="G19" s="8">
        <f>SUM(H14:H16)</f>
        <v>0.90399999999999991</v>
      </c>
    </row>
  </sheetData>
  <mergeCells count="4">
    <mergeCell ref="B4:D4"/>
    <mergeCell ref="F4:H4"/>
    <mergeCell ref="B13:D13"/>
    <mergeCell ref="F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Станислав Сергеев</cp:lastModifiedBy>
  <dcterms:created xsi:type="dcterms:W3CDTF">2015-06-05T18:19:34Z</dcterms:created>
  <dcterms:modified xsi:type="dcterms:W3CDTF">2026-07-09T02:29:13Z</dcterms:modified>
</cp:coreProperties>
</file>